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He convergence" sheetId="2" state="visible" r:id="rId4"/>
    <sheet name="Ar convergence" sheetId="3" state="visible" r:id="rId5"/>
    <sheet name="Zn convergence" sheetId="4" state="visible" r:id="rId6"/>
    <sheet name="Mo convergence" sheetId="5" state="visible" r:id="rId7"/>
    <sheet name="Au convergence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<sst xmlns="http://schemas.openxmlformats.org/spreadsheetml/2006/main" count="576" uniqueCount="73">
  <si>
    <t xml:space="preserve">Element</t>
  </si>
  <si>
    <t xml:space="preserve">Method</t>
  </si>
  <si>
    <t xml:space="preserve">n</t>
  </si>
  <si>
    <t xml:space="preserve">TotalEnergy_Ha</t>
  </si>
  <si>
    <t xml:space="preserve">CorrelationEnergy_Ha</t>
  </si>
  <si>
    <t xml:space="preserve">Eig1_Ha</t>
  </si>
  <si>
    <t xml:space="preserve">Eig2_Ha</t>
  </si>
  <si>
    <t xml:space="preserve">Eig3_Ha</t>
  </si>
  <si>
    <t xml:space="preserve">Eig4_Ha</t>
  </si>
  <si>
    <t xml:space="preserve">Eig5_Ha</t>
  </si>
  <si>
    <t xml:space="preserve">Eig6_Ha</t>
  </si>
  <si>
    <t xml:space="preserve">Eig7_Ha</t>
  </si>
  <si>
    <t xml:space="preserve">Eig8_Ha</t>
  </si>
  <si>
    <t xml:space="preserve">Eig9_Ha</t>
  </si>
  <si>
    <t xml:space="preserve">Eig10_Ha</t>
  </si>
  <si>
    <t xml:space="preserve">Eig11_Ha</t>
  </si>
  <si>
    <t xml:space="preserve">Eig12_Ha</t>
  </si>
  <si>
    <t xml:space="preserve">Eig13_Ha</t>
  </si>
  <si>
    <t xml:space="preserve">Eig14_Ha</t>
  </si>
  <si>
    <t xml:space="preserve">AbsDiff_TotalEnergy_Ha</t>
  </si>
  <si>
    <t xml:space="preserve">AbsDiff_CorrelationEnergy_Ha</t>
  </si>
  <si>
    <t xml:space="preserve">AbsDiff_Eig1_Ha</t>
  </si>
  <si>
    <t xml:space="preserve">AbsDiff_Eig2_Ha</t>
  </si>
  <si>
    <t xml:space="preserve">AbsDiff_Eig3_Ha</t>
  </si>
  <si>
    <t xml:space="preserve">AbsDiff_Eig4_Ha</t>
  </si>
  <si>
    <t xml:space="preserve">AbsDiff_Eig5_Ha</t>
  </si>
  <si>
    <t xml:space="preserve">AbsDiff_Eig6_Ha</t>
  </si>
  <si>
    <t xml:space="preserve">AbsDiff_Eig7_Ha</t>
  </si>
  <si>
    <t xml:space="preserve">AbsDiff_Eig8_Ha</t>
  </si>
  <si>
    <t xml:space="preserve">AbsDiff_Eig9_Ha</t>
  </si>
  <si>
    <t xml:space="preserve">AbsDiff_Eig10_Ha</t>
  </si>
  <si>
    <t xml:space="preserve">AbsDiff_Eig11_Ha</t>
  </si>
  <si>
    <t xml:space="preserve">AbsDiff_Eig12_Ha</t>
  </si>
  <si>
    <t xml:space="preserve">AbsDiff_Eig13_Ha</t>
  </si>
  <si>
    <t xml:space="preserve">AbsDiff_Eig14_Ha</t>
  </si>
  <si>
    <t xml:space="preserve">MaxEigDiff_Ha</t>
  </si>
  <si>
    <t xml:space="preserve">He</t>
  </si>
  <si>
    <t xml:space="preserve">Midpoint</t>
  </si>
  <si>
    <t xml:space="preserve">Trapezoidal</t>
  </si>
  <si>
    <t xml:space="preserve">CC</t>
  </si>
  <si>
    <t xml:space="preserve">GL</t>
  </si>
  <si>
    <t xml:space="preserve">Algebraic</t>
  </si>
  <si>
    <t xml:space="preserve">Ar</t>
  </si>
  <si>
    <t xml:space="preserve">Zn</t>
  </si>
  <si>
    <t xml:space="preserve">Mo</t>
  </si>
  <si>
    <t xml:space="preserve">Au</t>
  </si>
  <si>
    <t xml:space="preserve">Source: rpa_oep_lmax5_{midpoint,traepoidal,cc_sinh,gl_sinh,inverse_linear}.jsonl (user-uploaded). 'Algebraic' = inverse_linear grid. Green-shaded rows are each method's own n=100 reference row (used by the AbsDiff_* / MaxEigDiff_* formulas in every row for that Element+Method). Data-cleaning notes on the 'Notes' sheet.</t>
  </si>
  <si>
    <t xml:space="preserve">RPA-OEP frequency-quadrature convergence — He</t>
  </si>
  <si>
    <t xml:space="preserve">Absolute error vs. each method's own nω=100 result (Ha). Blank = that (nω, method) combination is not present in the source data.</t>
  </si>
  <si>
    <t xml:space="preserve">Total Energy</t>
  </si>
  <si>
    <t xml:space="preserve">nω</t>
  </si>
  <si>
    <t xml:space="preserve">Correlation Energy</t>
  </si>
  <si>
    <t xml:space="preserve">Max Eigenvalue Difference</t>
  </si>
  <si>
    <t xml:space="preserve">RPA-OEP frequency-quadrature convergence — Ar</t>
  </si>
  <si>
    <t xml:space="preserve">RPA-OEP frequency-quadrature convergence — Zn</t>
  </si>
  <si>
    <t xml:space="preserve">RPA-OEP frequency-quadrature convergence — Mo</t>
  </si>
  <si>
    <t xml:space="preserve">RPA-OEP frequency-quadrature convergence — Au</t>
  </si>
  <si>
    <t xml:space="preserve">Data provenance &amp; cleaning notes</t>
  </si>
  <si>
    <t xml:space="preserve">Source files (uploaded by user), one grid/quadrature type each:</t>
  </si>
  <si>
    <t xml:space="preserve">  • rpa_oep_lmax5_midpoint.jsonl        -&gt; 'Midpoint'</t>
  </si>
  <si>
    <t xml:space="preserve">  • rpa_oep_lmax5_traepoidal.jsonl      -&gt; 'Trapezoidal'</t>
  </si>
  <si>
    <t xml:space="preserve">  • rpa_oep_lmax5_cc_sinh.jsonl         -&gt; 'CC'  (Clenshaw-Curtis, sinh substitution)</t>
  </si>
  <si>
    <t xml:space="preserve">  • rpa_oep_lmax5_gl_sinh.jsonl         -&gt; 'GL'  (Gauss-Legendre, sinh substitution)</t>
  </si>
  <si>
    <t xml:space="preserve">  • rpa_oep_lmax5_inverse_linear.jsonl  -&gt; 'Algebraic' (inverse-linear grid)</t>
  </si>
  <si>
    <t xml:space="preserve">System: lmax=5, all-electron (AE), 5 elements (He, Ar, Zn, Mo, Au), nω in {5,10,15,20,30,50,80,100[,150 for Midpoint on Ar/Zn/Mo/Au]}.</t>
  </si>
  <si>
    <t xml:space="preserve">Reference point: for every element+method independently, the nω=100 result of that SAME method is used as the convergence reference (i.e. each curve is judged against its own best available point, not a cross-method reference).</t>
  </si>
  <si>
    <t xml:space="preserve">Cleaning performed before analysis:</t>
  </si>
  <si>
    <t xml:space="preserve">  1. rpa_oep_lmax5_inverse_linear.jsonl contained exact duplicate lines for several He rows (n=5,10,15,20,30,50). Duplicates were dropped, keeping the first occurrence.</t>
  </si>
  <si>
    <t xml:space="preserve">  2. rpa_oep_lmax5_midpoint.jsonl contains a contaminated block: a set of 'He' rows (second occurrence, tagged grid='sinh') that is byte-for-byte identical to the Trapezoidal file's He series -- including a divergent nω=5 point (total_energy = +28524.9 Ha, i.e. not physically converged). This block was identified as a copy/paste artifact from the Trapezoidal run and discarded in full.</t>
  </si>
  <si>
    <t xml:space="preserve">  3. After removing that contamination, He still had two remaining candidate series in the midpoint file: one tagged grid=None (complete, nω=5..100) and one tagged grid='sinh' (incomplete, nω=5..50 only, no nω=100 point to use as a reference). The complete grid=None series was kept for He so that a self nω=100 reference exists, matching the other four elements (Ar, Zn, Mo, Au), which only ever appear with grid='sinh' in that file and were used as-is.</t>
  </si>
  <si>
    <t xml:space="preserve">  4. All other files (Trapezoidal, CC, GL, Algebraic) were internally consistent (no duplicates, no contamination) after de-duplication.</t>
  </si>
  <si>
    <t xml:space="preserve">'Max Eigenvalue Difference' = max over occupied orbitals i of |ε_i(nω) - ε_i(nω=100)|, computed elementwise (orbitals are listed in the same core-to-HOMO order at every nω, so index-wise comparison is valid). Orbital counts: He=1, Ar=5, Zn=7, Mo=10, Au=14.</t>
  </si>
  <si>
    <t xml:space="preserve">All energies in Hartree (Ha). All AbsDiff_* / MaxEigDiff_* values on the 'Raw Data' sheet and every value on the per-element convergence sheets are live formulas (SUMIFS/COUNTIFS/MAX/ABS) referencing the raw values above them -- nothing is hardcoded except the original source numbers themselves.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</si>
</sst>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E+00"/>
    <numFmt numFmtId="166" formatCode="0"/>
    <numFmt numFmtId="167" formatCode="0.000E+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6" min="3" style="0" width="1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n">
        <v>5</v>
      </c>
      <c r="D2" s="3" t="n">
        <v>-2.94199486909949</v>
      </c>
      <c r="E2" s="3" t="n">
        <v>-0.0814982110830072</v>
      </c>
      <c r="F2" s="3" t="n">
        <v>-0.984637681156318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n">
        <f aca="false">ABS(D2-SUMIFS($D$2:$D$205,$A$2:$A$205,$A2,$B$2:$B$205,$B2,$C$2:$C$205,100))</f>
        <v>0.00280551152273167</v>
      </c>
      <c r="U2" s="3" t="n">
        <f aca="false">ABS(E2-SUMIFS($E$2:$E$205,$A$2:$A$205,$A2,$B$2:$B$205,$B2,$C$2:$C$205,100))</f>
        <v>0.00174980490485278</v>
      </c>
      <c r="V2" s="3" t="n">
        <f aca="false">IF(ISBLANK(F2),"",ABS(F2-SUMIFS($F$2:$F$205,$A$2:$A$205,$A2,$B$2:$B$205,$B2,$C$2:$C$205,100)))</f>
        <v>0.0833533348922004</v>
      </c>
      <c r="W2" s="3" t="str">
        <f aca="false">IF(ISBLANK(G2),"",ABS(G2-SUMIFS($G$2:$G$205,$A$2:$A$205,$A2,$B$2:$B$205,$B2,$C$2:$C$205,100)))</f>
        <v/>
      </c>
      <c r="X2" s="3" t="str">
        <f aca="false">IF(ISBLANK(H2),"",ABS(H2-SUMIFS($H$2:$H$205,$A$2:$A$205,$A2,$B$2:$B$205,$B2,$C$2:$C$205,100)))</f>
        <v/>
      </c>
      <c r="Y2" s="3" t="str">
        <f aca="false">IF(ISBLANK(I2),"",ABS(I2-SUMIFS($I$2:$I$205,$A$2:$A$205,$A2,$B$2:$B$205,$B2,$C$2:$C$205,100)))</f>
        <v/>
      </c>
      <c r="Z2" s="3" t="str">
        <f aca="false">IF(ISBLANK(J2),"",ABS(J2-SUMIFS($J$2:$J$205,$A$2:$A$205,$A2,$B$2:$B$205,$B2,$C$2:$C$205,100)))</f>
        <v/>
      </c>
      <c r="AA2" s="3" t="str">
        <f aca="false">IF(ISBLANK(K2),"",ABS(K2-SUMIFS($K$2:$K$205,$A$2:$A$205,$A2,$B$2:$B$205,$B2,$C$2:$C$205,100)))</f>
        <v/>
      </c>
      <c r="AB2" s="3" t="str">
        <f aca="false">IF(ISBLANK(L2),"",ABS(L2-SUMIFS($L$2:$L$205,$A$2:$A$205,$A2,$B$2:$B$205,$B2,$C$2:$C$205,100)))</f>
        <v/>
      </c>
      <c r="AC2" s="3" t="str">
        <f aca="false">IF(ISBLANK(M2),"",ABS(M2-SUMIFS($M$2:$M$205,$A$2:$A$205,$A2,$B$2:$B$205,$B2,$C$2:$C$205,100)))</f>
        <v/>
      </c>
      <c r="AD2" s="3" t="str">
        <f aca="false">IF(ISBLANK(N2),"",ABS(N2-SUMIFS($N$2:$N$205,$A$2:$A$205,$A2,$B$2:$B$205,$B2,$C$2:$C$205,100)))</f>
        <v/>
      </c>
      <c r="AE2" s="3" t="str">
        <f aca="false">IF(ISBLANK(O2),"",ABS(O2-SUMIFS($O$2:$O$205,$A$2:$A$205,$A2,$B$2:$B$205,$B2,$C$2:$C$205,100)))</f>
        <v/>
      </c>
      <c r="AF2" s="3" t="str">
        <f aca="false">IF(ISBLANK(P2),"",ABS(P2-SUMIFS($P$2:$P$205,$A$2:$A$205,$A2,$B$2:$B$205,$B2,$C$2:$C$205,100)))</f>
        <v/>
      </c>
      <c r="AG2" s="3" t="str">
        <f aca="false">IF(ISBLANK(Q2),"",ABS(Q2-SUMIFS($Q$2:$Q$205,$A$2:$A$205,$A2,$B$2:$B$205,$B2,$C$2:$C$205,100)))</f>
        <v/>
      </c>
      <c r="AH2" s="3" t="str">
        <f aca="false">IF(ISBLANK(R2),"",ABS(R2-SUMIFS($R$2:$R$205,$A$2:$A$205,$A2,$B$2:$B$205,$B2,$C$2:$C$205,100)))</f>
        <v/>
      </c>
      <c r="AI2" s="3" t="str">
        <f aca="false">IF(ISBLANK(S2),"",ABS(S2-SUMIFS($S$2:$S$205,$A$2:$A$205,$A2,$B$2:$B$205,$B2,$C$2:$C$205,100)))</f>
        <v/>
      </c>
      <c r="AJ2" s="3" t="n">
        <f aca="false">MAX(V2:AI2)</f>
        <v>0.0833533348922004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n">
        <v>10</v>
      </c>
      <c r="D3" s="3" t="n">
        <v>-2.94431143490129</v>
      </c>
      <c r="E3" s="3" t="n">
        <v>-0.0828260058011653</v>
      </c>
      <c r="F3" s="3" t="n">
        <v>-1.00026580489896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n">
        <f aca="false">ABS(D3-SUMIFS($D$2:$D$205,$A$2:$A$205,$A3,$B$2:$B$205,$B3,$C$2:$C$205,100))</f>
        <v>0.000488945720935607</v>
      </c>
      <c r="U3" s="3" t="n">
        <f aca="false">ABS(E3-SUMIFS($E$2:$E$205,$A$2:$A$205,$A3,$B$2:$B$205,$B3,$C$2:$C$205,100))</f>
        <v>0.000422010186694743</v>
      </c>
      <c r="V3" s="3" t="n">
        <f aca="false">IF(ISBLANK(F3),"",ABS(F3-SUMIFS($F$2:$F$205,$A$2:$A$205,$A3,$B$2:$B$205,$B3,$C$2:$C$205,100)))</f>
        <v>0.0989814586348413</v>
      </c>
      <c r="W3" s="3" t="str">
        <f aca="false">IF(ISBLANK(G3),"",ABS(G3-SUMIFS($G$2:$G$205,$A$2:$A$205,$A3,$B$2:$B$205,$B3,$C$2:$C$205,100)))</f>
        <v/>
      </c>
      <c r="X3" s="3" t="str">
        <f aca="false">IF(ISBLANK(H3),"",ABS(H3-SUMIFS($H$2:$H$205,$A$2:$A$205,$A3,$B$2:$B$205,$B3,$C$2:$C$205,100)))</f>
        <v/>
      </c>
      <c r="Y3" s="3" t="str">
        <f aca="false">IF(ISBLANK(I3),"",ABS(I3-SUMIFS($I$2:$I$205,$A$2:$A$205,$A3,$B$2:$B$205,$B3,$C$2:$C$205,100)))</f>
        <v/>
      </c>
      <c r="Z3" s="3" t="str">
        <f aca="false">IF(ISBLANK(J3),"",ABS(J3-SUMIFS($J$2:$J$205,$A$2:$A$205,$A3,$B$2:$B$205,$B3,$C$2:$C$205,100)))</f>
        <v/>
      </c>
      <c r="AA3" s="3" t="str">
        <f aca="false">IF(ISBLANK(K3),"",ABS(K3-SUMIFS($K$2:$K$205,$A$2:$A$205,$A3,$B$2:$B$205,$B3,$C$2:$C$205,100)))</f>
        <v/>
      </c>
      <c r="AB3" s="3" t="str">
        <f aca="false">IF(ISBLANK(L3),"",ABS(L3-SUMIFS($L$2:$L$205,$A$2:$A$205,$A3,$B$2:$B$205,$B3,$C$2:$C$205,100)))</f>
        <v/>
      </c>
      <c r="AC3" s="3" t="str">
        <f aca="false">IF(ISBLANK(M3),"",ABS(M3-SUMIFS($M$2:$M$205,$A$2:$A$205,$A3,$B$2:$B$205,$B3,$C$2:$C$205,100)))</f>
        <v/>
      </c>
      <c r="AD3" s="3" t="str">
        <f aca="false">IF(ISBLANK(N3),"",ABS(N3-SUMIFS($N$2:$N$205,$A$2:$A$205,$A3,$B$2:$B$205,$B3,$C$2:$C$205,100)))</f>
        <v/>
      </c>
      <c r="AE3" s="3" t="str">
        <f aca="false">IF(ISBLANK(O3),"",ABS(O3-SUMIFS($O$2:$O$205,$A$2:$A$205,$A3,$B$2:$B$205,$B3,$C$2:$C$205,100)))</f>
        <v/>
      </c>
      <c r="AF3" s="3" t="str">
        <f aca="false">IF(ISBLANK(P3),"",ABS(P3-SUMIFS($P$2:$P$205,$A$2:$A$205,$A3,$B$2:$B$205,$B3,$C$2:$C$205,100)))</f>
        <v/>
      </c>
      <c r="AG3" s="3" t="str">
        <f aca="false">IF(ISBLANK(Q3),"",ABS(Q3-SUMIFS($Q$2:$Q$205,$A$2:$A$205,$A3,$B$2:$B$205,$B3,$C$2:$C$205,100)))</f>
        <v/>
      </c>
      <c r="AH3" s="3" t="str">
        <f aca="false">IF(ISBLANK(R3),"",ABS(R3-SUMIFS($R$2:$R$205,$A$2:$A$205,$A3,$B$2:$B$205,$B3,$C$2:$C$205,100)))</f>
        <v/>
      </c>
      <c r="AI3" s="3" t="str">
        <f aca="false">IF(ISBLANK(S3),"",ABS(S3-SUMIFS($S$2:$S$205,$A$2:$A$205,$A3,$B$2:$B$205,$B3,$C$2:$C$205,100)))</f>
        <v/>
      </c>
      <c r="AJ3" s="3" t="n">
        <f aca="false">MAX(V3:AI3)</f>
        <v>0.0989814586348413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n">
        <v>15</v>
      </c>
      <c r="D4" s="3" t="n">
        <v>-2.94469960596932</v>
      </c>
      <c r="E4" s="3" t="n">
        <v>-0.0831400155866159</v>
      </c>
      <c r="F4" s="3" t="n">
        <v>-0.985037438300335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n">
        <f aca="false">ABS(D4-SUMIFS($D$2:$D$205,$A$2:$A$205,$A4,$B$2:$B$205,$B4,$C$2:$C$205,100))</f>
        <v>0.000100774652903812</v>
      </c>
      <c r="U4" s="3" t="n">
        <f aca="false">ABS(E4-SUMIFS($E$2:$E$205,$A$2:$A$205,$A4,$B$2:$B$205,$B4,$C$2:$C$205,100))</f>
        <v>0.000108000401244104</v>
      </c>
      <c r="V4" s="3" t="n">
        <f aca="false">IF(ISBLANK(F4),"",ABS(F4-SUMIFS($F$2:$F$205,$A$2:$A$205,$A4,$B$2:$B$205,$B4,$C$2:$C$205,100)))</f>
        <v>0.0837530920362177</v>
      </c>
      <c r="W4" s="3" t="str">
        <f aca="false">IF(ISBLANK(G4),"",ABS(G4-SUMIFS($G$2:$G$205,$A$2:$A$205,$A4,$B$2:$B$205,$B4,$C$2:$C$205,100)))</f>
        <v/>
      </c>
      <c r="X4" s="3" t="str">
        <f aca="false">IF(ISBLANK(H4),"",ABS(H4-SUMIFS($H$2:$H$205,$A$2:$A$205,$A4,$B$2:$B$205,$B4,$C$2:$C$205,100)))</f>
        <v/>
      </c>
      <c r="Y4" s="3" t="str">
        <f aca="false">IF(ISBLANK(I4),"",ABS(I4-SUMIFS($I$2:$I$205,$A$2:$A$205,$A4,$B$2:$B$205,$B4,$C$2:$C$205,100)))</f>
        <v/>
      </c>
      <c r="Z4" s="3" t="str">
        <f aca="false">IF(ISBLANK(J4),"",ABS(J4-SUMIFS($J$2:$J$205,$A$2:$A$205,$A4,$B$2:$B$205,$B4,$C$2:$C$205,100)))</f>
        <v/>
      </c>
      <c r="AA4" s="3" t="str">
        <f aca="false">IF(ISBLANK(K4),"",ABS(K4-SUMIFS($K$2:$K$205,$A$2:$A$205,$A4,$B$2:$B$205,$B4,$C$2:$C$205,100)))</f>
        <v/>
      </c>
      <c r="AB4" s="3" t="str">
        <f aca="false">IF(ISBLANK(L4),"",ABS(L4-SUMIFS($L$2:$L$205,$A$2:$A$205,$A4,$B$2:$B$205,$B4,$C$2:$C$205,100)))</f>
        <v/>
      </c>
      <c r="AC4" s="3" t="str">
        <f aca="false">IF(ISBLANK(M4),"",ABS(M4-SUMIFS($M$2:$M$205,$A$2:$A$205,$A4,$B$2:$B$205,$B4,$C$2:$C$205,100)))</f>
        <v/>
      </c>
      <c r="AD4" s="3" t="str">
        <f aca="false">IF(ISBLANK(N4),"",ABS(N4-SUMIFS($N$2:$N$205,$A$2:$A$205,$A4,$B$2:$B$205,$B4,$C$2:$C$205,100)))</f>
        <v/>
      </c>
      <c r="AE4" s="3" t="str">
        <f aca="false">IF(ISBLANK(O4),"",ABS(O4-SUMIFS($O$2:$O$205,$A$2:$A$205,$A4,$B$2:$B$205,$B4,$C$2:$C$205,100)))</f>
        <v/>
      </c>
      <c r="AF4" s="3" t="str">
        <f aca="false">IF(ISBLANK(P4),"",ABS(P4-SUMIFS($P$2:$P$205,$A$2:$A$205,$A4,$B$2:$B$205,$B4,$C$2:$C$205,100)))</f>
        <v/>
      </c>
      <c r="AG4" s="3" t="str">
        <f aca="false">IF(ISBLANK(Q4),"",ABS(Q4-SUMIFS($Q$2:$Q$205,$A$2:$A$205,$A4,$B$2:$B$205,$B4,$C$2:$C$205,100)))</f>
        <v/>
      </c>
      <c r="AH4" s="3" t="str">
        <f aca="false">IF(ISBLANK(R4),"",ABS(R4-SUMIFS($R$2:$R$205,$A$2:$A$205,$A4,$B$2:$B$205,$B4,$C$2:$C$205,100)))</f>
        <v/>
      </c>
      <c r="AI4" s="3" t="str">
        <f aca="false">IF(ISBLANK(S4),"",ABS(S4-SUMIFS($S$2:$S$205,$A$2:$A$205,$A4,$B$2:$B$205,$B4,$C$2:$C$205,100)))</f>
        <v/>
      </c>
      <c r="AJ4" s="3" t="n">
        <f aca="false">MAX(V4:AI4)</f>
        <v>0.0837530920362177</v>
      </c>
    </row>
    <row r="5" customFormat="false" ht="15" hidden="false" customHeight="false" outlineLevel="0" collapsed="false">
      <c r="A5" s="2" t="s">
        <v>36</v>
      </c>
      <c r="B5" s="2" t="s">
        <v>37</v>
      </c>
      <c r="C5" s="2" t="n">
        <v>20</v>
      </c>
      <c r="D5" s="3" t="n">
        <v>-2.94479205850687</v>
      </c>
      <c r="E5" s="3" t="n">
        <v>-0.0832370037965845</v>
      </c>
      <c r="F5" s="3" t="n">
        <v>-1.05607076388575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n">
        <f aca="false">ABS(D5-SUMIFS($D$2:$D$205,$A$2:$A$205,$A5,$B$2:$B$205,$B5,$C$2:$C$205,100))</f>
        <v>8.32211535684024E-006</v>
      </c>
      <c r="U5" s="3" t="n">
        <f aca="false">ABS(E5-SUMIFS($E$2:$E$205,$A$2:$A$205,$A5,$B$2:$B$205,$B5,$C$2:$C$205,100))</f>
        <v>1.10121912755001E-005</v>
      </c>
      <c r="V5" s="3" t="n">
        <f aca="false">IF(ISBLANK(F5),"",ABS(F5-SUMIFS($F$2:$F$205,$A$2:$A$205,$A5,$B$2:$B$205,$B5,$C$2:$C$205,100)))</f>
        <v>0.154786417621629</v>
      </c>
      <c r="W5" s="3" t="str">
        <f aca="false">IF(ISBLANK(G5),"",ABS(G5-SUMIFS($G$2:$G$205,$A$2:$A$205,$A5,$B$2:$B$205,$B5,$C$2:$C$205,100)))</f>
        <v/>
      </c>
      <c r="X5" s="3" t="str">
        <f aca="false">IF(ISBLANK(H5),"",ABS(H5-SUMIFS($H$2:$H$205,$A$2:$A$205,$A5,$B$2:$B$205,$B5,$C$2:$C$205,100)))</f>
        <v/>
      </c>
      <c r="Y5" s="3" t="str">
        <f aca="false">IF(ISBLANK(I5),"",ABS(I5-SUMIFS($I$2:$I$205,$A$2:$A$205,$A5,$B$2:$B$205,$B5,$C$2:$C$205,100)))</f>
        <v/>
      </c>
      <c r="Z5" s="3" t="str">
        <f aca="false">IF(ISBLANK(J5),"",ABS(J5-SUMIFS($J$2:$J$205,$A$2:$A$205,$A5,$B$2:$B$205,$B5,$C$2:$C$205,100)))</f>
        <v/>
      </c>
      <c r="AA5" s="3" t="str">
        <f aca="false">IF(ISBLANK(K5),"",ABS(K5-SUMIFS($K$2:$K$205,$A$2:$A$205,$A5,$B$2:$B$205,$B5,$C$2:$C$205,100)))</f>
        <v/>
      </c>
      <c r="AB5" s="3" t="str">
        <f aca="false">IF(ISBLANK(L5),"",ABS(L5-SUMIFS($L$2:$L$205,$A$2:$A$205,$A5,$B$2:$B$205,$B5,$C$2:$C$205,100)))</f>
        <v/>
      </c>
      <c r="AC5" s="3" t="str">
        <f aca="false">IF(ISBLANK(M5),"",ABS(M5-SUMIFS($M$2:$M$205,$A$2:$A$205,$A5,$B$2:$B$205,$B5,$C$2:$C$205,100)))</f>
        <v/>
      </c>
      <c r="AD5" s="3" t="str">
        <f aca="false">IF(ISBLANK(N5),"",ABS(N5-SUMIFS($N$2:$N$205,$A$2:$A$205,$A5,$B$2:$B$205,$B5,$C$2:$C$205,100)))</f>
        <v/>
      </c>
      <c r="AE5" s="3" t="str">
        <f aca="false">IF(ISBLANK(O5),"",ABS(O5-SUMIFS($O$2:$O$205,$A$2:$A$205,$A5,$B$2:$B$205,$B5,$C$2:$C$205,100)))</f>
        <v/>
      </c>
      <c r="AF5" s="3" t="str">
        <f aca="false">IF(ISBLANK(P5),"",ABS(P5-SUMIFS($P$2:$P$205,$A$2:$A$205,$A5,$B$2:$B$205,$B5,$C$2:$C$205,100)))</f>
        <v/>
      </c>
      <c r="AG5" s="3" t="str">
        <f aca="false">IF(ISBLANK(Q5),"",ABS(Q5-SUMIFS($Q$2:$Q$205,$A$2:$A$205,$A5,$B$2:$B$205,$B5,$C$2:$C$205,100)))</f>
        <v/>
      </c>
      <c r="AH5" s="3" t="str">
        <f aca="false">IF(ISBLANK(R5),"",ABS(R5-SUMIFS($R$2:$R$205,$A$2:$A$205,$A5,$B$2:$B$205,$B5,$C$2:$C$205,100)))</f>
        <v/>
      </c>
      <c r="AI5" s="3" t="str">
        <f aca="false">IF(ISBLANK(S5),"",ABS(S5-SUMIFS($S$2:$S$205,$A$2:$A$205,$A5,$B$2:$B$205,$B5,$C$2:$C$205,100)))</f>
        <v/>
      </c>
      <c r="AJ5" s="3" t="n">
        <f aca="false">MAX(V5:AI5)</f>
        <v>0.154786417621629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n">
        <v>30</v>
      </c>
      <c r="D6" s="3" t="n">
        <v>-2.94480034637202</v>
      </c>
      <c r="E6" s="3" t="n">
        <v>-0.0832479378154158</v>
      </c>
      <c r="F6" s="3" t="n">
        <v>-0.991012190385592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n">
        <f aca="false">ABS(D6-SUMIFS($D$2:$D$205,$A$2:$A$205,$A6,$B$2:$B$205,$B6,$C$2:$C$205,100))</f>
        <v>3.42502017858237E-008</v>
      </c>
      <c r="U6" s="3" t="n">
        <f aca="false">ABS(E6-SUMIFS($E$2:$E$205,$A$2:$A$205,$A6,$B$2:$B$205,$B6,$C$2:$C$205,100))</f>
        <v>7.81724442122656E-008</v>
      </c>
      <c r="V6" s="3" t="n">
        <f aca="false">IF(ISBLANK(F6),"",ABS(F6-SUMIFS($F$2:$F$205,$A$2:$A$205,$A6,$B$2:$B$205,$B6,$C$2:$C$205,100)))</f>
        <v>0.0897278441214742</v>
      </c>
      <c r="W6" s="3" t="str">
        <f aca="false">IF(ISBLANK(G6),"",ABS(G6-SUMIFS($G$2:$G$205,$A$2:$A$205,$A6,$B$2:$B$205,$B6,$C$2:$C$205,100)))</f>
        <v/>
      </c>
      <c r="X6" s="3" t="str">
        <f aca="false">IF(ISBLANK(H6),"",ABS(H6-SUMIFS($H$2:$H$205,$A$2:$A$205,$A6,$B$2:$B$205,$B6,$C$2:$C$205,100)))</f>
        <v/>
      </c>
      <c r="Y6" s="3" t="str">
        <f aca="false">IF(ISBLANK(I6),"",ABS(I6-SUMIFS($I$2:$I$205,$A$2:$A$205,$A6,$B$2:$B$205,$B6,$C$2:$C$205,100)))</f>
        <v/>
      </c>
      <c r="Z6" s="3" t="str">
        <f aca="false">IF(ISBLANK(J6),"",ABS(J6-SUMIFS($J$2:$J$205,$A$2:$A$205,$A6,$B$2:$B$205,$B6,$C$2:$C$205,100)))</f>
        <v/>
      </c>
      <c r="AA6" s="3" t="str">
        <f aca="false">IF(ISBLANK(K6),"",ABS(K6-SUMIFS($K$2:$K$205,$A$2:$A$205,$A6,$B$2:$B$205,$B6,$C$2:$C$205,100)))</f>
        <v/>
      </c>
      <c r="AB6" s="3" t="str">
        <f aca="false">IF(ISBLANK(L6),"",ABS(L6-SUMIFS($L$2:$L$205,$A$2:$A$205,$A6,$B$2:$B$205,$B6,$C$2:$C$205,100)))</f>
        <v/>
      </c>
      <c r="AC6" s="3" t="str">
        <f aca="false">IF(ISBLANK(M6),"",ABS(M6-SUMIFS($M$2:$M$205,$A$2:$A$205,$A6,$B$2:$B$205,$B6,$C$2:$C$205,100)))</f>
        <v/>
      </c>
      <c r="AD6" s="3" t="str">
        <f aca="false">IF(ISBLANK(N6),"",ABS(N6-SUMIFS($N$2:$N$205,$A$2:$A$205,$A6,$B$2:$B$205,$B6,$C$2:$C$205,100)))</f>
        <v/>
      </c>
      <c r="AE6" s="3" t="str">
        <f aca="false">IF(ISBLANK(O6),"",ABS(O6-SUMIFS($O$2:$O$205,$A$2:$A$205,$A6,$B$2:$B$205,$B6,$C$2:$C$205,100)))</f>
        <v/>
      </c>
      <c r="AF6" s="3" t="str">
        <f aca="false">IF(ISBLANK(P6),"",ABS(P6-SUMIFS($P$2:$P$205,$A$2:$A$205,$A6,$B$2:$B$205,$B6,$C$2:$C$205,100)))</f>
        <v/>
      </c>
      <c r="AG6" s="3" t="str">
        <f aca="false">IF(ISBLANK(Q6),"",ABS(Q6-SUMIFS($Q$2:$Q$205,$A$2:$A$205,$A6,$B$2:$B$205,$B6,$C$2:$C$205,100)))</f>
        <v/>
      </c>
      <c r="AH6" s="3" t="str">
        <f aca="false">IF(ISBLANK(R6),"",ABS(R6-SUMIFS($R$2:$R$205,$A$2:$A$205,$A6,$B$2:$B$205,$B6,$C$2:$C$205,100)))</f>
        <v/>
      </c>
      <c r="AI6" s="3" t="str">
        <f aca="false">IF(ISBLANK(S6),"",ABS(S6-SUMIFS($S$2:$S$205,$A$2:$A$205,$A6,$B$2:$B$205,$B6,$C$2:$C$205,100)))</f>
        <v/>
      </c>
      <c r="AJ6" s="3" t="n">
        <f aca="false">MAX(V6:AI6)</f>
        <v>0.0897278441214742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n">
        <v>50</v>
      </c>
      <c r="D7" s="3" t="n">
        <v>-2.94480038062142</v>
      </c>
      <c r="E7" s="3" t="n">
        <v>-0.0832480159840176</v>
      </c>
      <c r="F7" s="3" t="n">
        <v>-0.901253901778662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n">
        <f aca="false">ABS(D7-SUMIFS($D$2:$D$205,$A$2:$A$205,$A7,$B$2:$B$205,$B7,$C$2:$C$205,100))</f>
        <v>8.00692845359663E-013</v>
      </c>
      <c r="U7" s="3" t="n">
        <f aca="false">ABS(E7-SUMIFS($E$2:$E$205,$A$2:$A$205,$A7,$B$2:$B$205,$B7,$C$2:$C$205,100))</f>
        <v>3.84241249928863E-012</v>
      </c>
      <c r="V7" s="3" t="n">
        <f aca="false">IF(ISBLANK(F7),"",ABS(F7-SUMIFS($F$2:$F$205,$A$2:$A$205,$A7,$B$2:$B$205,$B7,$C$2:$C$205,100)))</f>
        <v>3.04444854558605E-005</v>
      </c>
      <c r="W7" s="3" t="str">
        <f aca="false">IF(ISBLANK(G7),"",ABS(G7-SUMIFS($G$2:$G$205,$A$2:$A$205,$A7,$B$2:$B$205,$B7,$C$2:$C$205,100)))</f>
        <v/>
      </c>
      <c r="X7" s="3" t="str">
        <f aca="false">IF(ISBLANK(H7),"",ABS(H7-SUMIFS($H$2:$H$205,$A$2:$A$205,$A7,$B$2:$B$205,$B7,$C$2:$C$205,100)))</f>
        <v/>
      </c>
      <c r="Y7" s="3" t="str">
        <f aca="false">IF(ISBLANK(I7),"",ABS(I7-SUMIFS($I$2:$I$205,$A$2:$A$205,$A7,$B$2:$B$205,$B7,$C$2:$C$205,100)))</f>
        <v/>
      </c>
      <c r="Z7" s="3" t="str">
        <f aca="false">IF(ISBLANK(J7),"",ABS(J7-SUMIFS($J$2:$J$205,$A$2:$A$205,$A7,$B$2:$B$205,$B7,$C$2:$C$205,100)))</f>
        <v/>
      </c>
      <c r="AA7" s="3" t="str">
        <f aca="false">IF(ISBLANK(K7),"",ABS(K7-SUMIFS($K$2:$K$205,$A$2:$A$205,$A7,$B$2:$B$205,$B7,$C$2:$C$205,100)))</f>
        <v/>
      </c>
      <c r="AB7" s="3" t="str">
        <f aca="false">IF(ISBLANK(L7),"",ABS(L7-SUMIFS($L$2:$L$205,$A$2:$A$205,$A7,$B$2:$B$205,$B7,$C$2:$C$205,100)))</f>
        <v/>
      </c>
      <c r="AC7" s="3" t="str">
        <f aca="false">IF(ISBLANK(M7),"",ABS(M7-SUMIFS($M$2:$M$205,$A$2:$A$205,$A7,$B$2:$B$205,$B7,$C$2:$C$205,100)))</f>
        <v/>
      </c>
      <c r="AD7" s="3" t="str">
        <f aca="false">IF(ISBLANK(N7),"",ABS(N7-SUMIFS($N$2:$N$205,$A$2:$A$205,$A7,$B$2:$B$205,$B7,$C$2:$C$205,100)))</f>
        <v/>
      </c>
      <c r="AE7" s="3" t="str">
        <f aca="false">IF(ISBLANK(O7),"",ABS(O7-SUMIFS($O$2:$O$205,$A$2:$A$205,$A7,$B$2:$B$205,$B7,$C$2:$C$205,100)))</f>
        <v/>
      </c>
      <c r="AF7" s="3" t="str">
        <f aca="false">IF(ISBLANK(P7),"",ABS(P7-SUMIFS($P$2:$P$205,$A$2:$A$205,$A7,$B$2:$B$205,$B7,$C$2:$C$205,100)))</f>
        <v/>
      </c>
      <c r="AG7" s="3" t="str">
        <f aca="false">IF(ISBLANK(Q7),"",ABS(Q7-SUMIFS($Q$2:$Q$205,$A$2:$A$205,$A7,$B$2:$B$205,$B7,$C$2:$C$205,100)))</f>
        <v/>
      </c>
      <c r="AH7" s="3" t="str">
        <f aca="false">IF(ISBLANK(R7),"",ABS(R7-SUMIFS($R$2:$R$205,$A$2:$A$205,$A7,$B$2:$B$205,$B7,$C$2:$C$205,100)))</f>
        <v/>
      </c>
      <c r="AI7" s="3" t="str">
        <f aca="false">IF(ISBLANK(S7),"",ABS(S7-SUMIFS($S$2:$S$205,$A$2:$A$205,$A7,$B$2:$B$205,$B7,$C$2:$C$205,100)))</f>
        <v/>
      </c>
      <c r="AJ7" s="3" t="n">
        <f aca="false">MAX(V7:AI7)</f>
        <v>3.04444854558605E-005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n">
        <v>80</v>
      </c>
      <c r="D8" s="3" t="n">
        <v>-2.94480038062224</v>
      </c>
      <c r="E8" s="3" t="n">
        <v>-0.083248015987854</v>
      </c>
      <c r="F8" s="3" t="n">
        <v>-0.901284346810805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n">
        <f aca="false">ABS(D8-SUMIFS($D$2:$D$205,$A$2:$A$205,$A8,$B$2:$B$205,$B8,$C$2:$C$205,100))</f>
        <v>1.59872115546023E-014</v>
      </c>
      <c r="U8" s="3" t="n">
        <f aca="false">ABS(E8-SUMIFS($E$2:$E$205,$A$2:$A$205,$A8,$B$2:$B$205,$B8,$C$2:$C$205,100))</f>
        <v>5.96744875736022E-015</v>
      </c>
      <c r="V8" s="3" t="n">
        <f aca="false">IF(ISBLANK(F8),"",ABS(F8-SUMIFS($F$2:$F$205,$A$2:$A$205,$A8,$B$2:$B$205,$B8,$C$2:$C$205,100)))</f>
        <v>5.46687140001723E-010</v>
      </c>
      <c r="W8" s="3" t="str">
        <f aca="false">IF(ISBLANK(G8),"",ABS(G8-SUMIFS($G$2:$G$205,$A$2:$A$205,$A8,$B$2:$B$205,$B8,$C$2:$C$205,100)))</f>
        <v/>
      </c>
      <c r="X8" s="3" t="str">
        <f aca="false">IF(ISBLANK(H8),"",ABS(H8-SUMIFS($H$2:$H$205,$A$2:$A$205,$A8,$B$2:$B$205,$B8,$C$2:$C$205,100)))</f>
        <v/>
      </c>
      <c r="Y8" s="3" t="str">
        <f aca="false">IF(ISBLANK(I8),"",ABS(I8-SUMIFS($I$2:$I$205,$A$2:$A$205,$A8,$B$2:$B$205,$B8,$C$2:$C$205,100)))</f>
        <v/>
      </c>
      <c r="Z8" s="3" t="str">
        <f aca="false">IF(ISBLANK(J8),"",ABS(J8-SUMIFS($J$2:$J$205,$A$2:$A$205,$A8,$B$2:$B$205,$B8,$C$2:$C$205,100)))</f>
        <v/>
      </c>
      <c r="AA8" s="3" t="str">
        <f aca="false">IF(ISBLANK(K8),"",ABS(K8-SUMIFS($K$2:$K$205,$A$2:$A$205,$A8,$B$2:$B$205,$B8,$C$2:$C$205,100)))</f>
        <v/>
      </c>
      <c r="AB8" s="3" t="str">
        <f aca="false">IF(ISBLANK(L8),"",ABS(L8-SUMIFS($L$2:$L$205,$A$2:$A$205,$A8,$B$2:$B$205,$B8,$C$2:$C$205,100)))</f>
        <v/>
      </c>
      <c r="AC8" s="3" t="str">
        <f aca="false">IF(ISBLANK(M8),"",ABS(M8-SUMIFS($M$2:$M$205,$A$2:$A$205,$A8,$B$2:$B$205,$B8,$C$2:$C$205,100)))</f>
        <v/>
      </c>
      <c r="AD8" s="3" t="str">
        <f aca="false">IF(ISBLANK(N8),"",ABS(N8-SUMIFS($N$2:$N$205,$A$2:$A$205,$A8,$B$2:$B$205,$B8,$C$2:$C$205,100)))</f>
        <v/>
      </c>
      <c r="AE8" s="3" t="str">
        <f aca="false">IF(ISBLANK(O8),"",ABS(O8-SUMIFS($O$2:$O$205,$A$2:$A$205,$A8,$B$2:$B$205,$B8,$C$2:$C$205,100)))</f>
        <v/>
      </c>
      <c r="AF8" s="3" t="str">
        <f aca="false">IF(ISBLANK(P8),"",ABS(P8-SUMIFS($P$2:$P$205,$A$2:$A$205,$A8,$B$2:$B$205,$B8,$C$2:$C$205,100)))</f>
        <v/>
      </c>
      <c r="AG8" s="3" t="str">
        <f aca="false">IF(ISBLANK(Q8),"",ABS(Q8-SUMIFS($Q$2:$Q$205,$A$2:$A$205,$A8,$B$2:$B$205,$B8,$C$2:$C$205,100)))</f>
        <v/>
      </c>
      <c r="AH8" s="3" t="str">
        <f aca="false">IF(ISBLANK(R8),"",ABS(R8-SUMIFS($R$2:$R$205,$A$2:$A$205,$A8,$B$2:$B$205,$B8,$C$2:$C$205,100)))</f>
        <v/>
      </c>
      <c r="AI8" s="3" t="str">
        <f aca="false">IF(ISBLANK(S8),"",ABS(S8-SUMIFS($S$2:$S$205,$A$2:$A$205,$A8,$B$2:$B$205,$B8,$C$2:$C$205,100)))</f>
        <v/>
      </c>
      <c r="AJ8" s="3" t="n">
        <f aca="false">MAX(V8:AI8)</f>
        <v>5.46687140001723E-010</v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n">
        <v>100</v>
      </c>
      <c r="D9" s="5" t="n">
        <v>-2.94480038062222</v>
      </c>
      <c r="E9" s="5" t="n">
        <v>-0.08324801598786</v>
      </c>
      <c r="F9" s="3" t="n">
        <v>-0.901284346264118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 t="n">
        <f aca="false">ABS(D9-SUMIFS($D$2:$D$205,$A$2:$A$205,$A9,$B$2:$B$205,$B9,$C$2:$C$205,100))</f>
        <v>0</v>
      </c>
      <c r="U9" s="3" t="n">
        <f aca="false">ABS(E9-SUMIFS($E$2:$E$205,$A$2:$A$205,$A9,$B$2:$B$205,$B9,$C$2:$C$205,100))</f>
        <v>0</v>
      </c>
      <c r="V9" s="3" t="n">
        <f aca="false">IF(ISBLANK(F9),"",ABS(F9-SUMIFS($F$2:$F$205,$A$2:$A$205,$A9,$B$2:$B$205,$B9,$C$2:$C$205,100)))</f>
        <v>0</v>
      </c>
      <c r="W9" s="3" t="str">
        <f aca="false">IF(ISBLANK(G9),"",ABS(G9-SUMIFS($G$2:$G$205,$A$2:$A$205,$A9,$B$2:$B$205,$B9,$C$2:$C$205,100)))</f>
        <v/>
      </c>
      <c r="X9" s="3" t="str">
        <f aca="false">IF(ISBLANK(H9),"",ABS(H9-SUMIFS($H$2:$H$205,$A$2:$A$205,$A9,$B$2:$B$205,$B9,$C$2:$C$205,100)))</f>
        <v/>
      </c>
      <c r="Y9" s="3" t="str">
        <f aca="false">IF(ISBLANK(I9),"",ABS(I9-SUMIFS($I$2:$I$205,$A$2:$A$205,$A9,$B$2:$B$205,$B9,$C$2:$C$205,100)))</f>
        <v/>
      </c>
      <c r="Z9" s="3" t="str">
        <f aca="false">IF(ISBLANK(J9),"",ABS(J9-SUMIFS($J$2:$J$205,$A$2:$A$205,$A9,$B$2:$B$205,$B9,$C$2:$C$205,100)))</f>
        <v/>
      </c>
      <c r="AA9" s="3" t="str">
        <f aca="false">IF(ISBLANK(K9),"",ABS(K9-SUMIFS($K$2:$K$205,$A$2:$A$205,$A9,$B$2:$B$205,$B9,$C$2:$C$205,100)))</f>
        <v/>
      </c>
      <c r="AB9" s="3" t="str">
        <f aca="false">IF(ISBLANK(L9),"",ABS(L9-SUMIFS($L$2:$L$205,$A$2:$A$205,$A9,$B$2:$B$205,$B9,$C$2:$C$205,100)))</f>
        <v/>
      </c>
      <c r="AC9" s="3" t="str">
        <f aca="false">IF(ISBLANK(M9),"",ABS(M9-SUMIFS($M$2:$M$205,$A$2:$A$205,$A9,$B$2:$B$205,$B9,$C$2:$C$205,100)))</f>
        <v/>
      </c>
      <c r="AD9" s="3" t="str">
        <f aca="false">IF(ISBLANK(N9),"",ABS(N9-SUMIFS($N$2:$N$205,$A$2:$A$205,$A9,$B$2:$B$205,$B9,$C$2:$C$205,100)))</f>
        <v/>
      </c>
      <c r="AE9" s="3" t="str">
        <f aca="false">IF(ISBLANK(O9),"",ABS(O9-SUMIFS($O$2:$O$205,$A$2:$A$205,$A9,$B$2:$B$205,$B9,$C$2:$C$205,100)))</f>
        <v/>
      </c>
      <c r="AF9" s="3" t="str">
        <f aca="false">IF(ISBLANK(P9),"",ABS(P9-SUMIFS($P$2:$P$205,$A$2:$A$205,$A9,$B$2:$B$205,$B9,$C$2:$C$205,100)))</f>
        <v/>
      </c>
      <c r="AG9" s="3" t="str">
        <f aca="false">IF(ISBLANK(Q9),"",ABS(Q9-SUMIFS($Q$2:$Q$205,$A$2:$A$205,$A9,$B$2:$B$205,$B9,$C$2:$C$205,100)))</f>
        <v/>
      </c>
      <c r="AH9" s="3" t="str">
        <f aca="false">IF(ISBLANK(R9),"",ABS(R9-SUMIFS($R$2:$R$205,$A$2:$A$205,$A9,$B$2:$B$205,$B9,$C$2:$C$205,100)))</f>
        <v/>
      </c>
      <c r="AI9" s="3" t="str">
        <f aca="false">IF(ISBLANK(S9),"",ABS(S9-SUMIFS($S$2:$S$205,$A$2:$A$205,$A9,$B$2:$B$205,$B9,$C$2:$C$205,100)))</f>
        <v/>
      </c>
      <c r="AJ9" s="3" t="n">
        <f aca="false">MAX(V9:AI9)</f>
        <v>0</v>
      </c>
    </row>
    <row r="10" customFormat="false" ht="15" hidden="false" customHeight="false" outlineLevel="0" collapsed="false">
      <c r="A10" s="2" t="s">
        <v>36</v>
      </c>
      <c r="B10" s="2" t="s">
        <v>38</v>
      </c>
      <c r="C10" s="2" t="n">
        <v>5</v>
      </c>
      <c r="D10" s="3" t="n">
        <v>28524.8872089995</v>
      </c>
      <c r="E10" s="3" t="n">
        <v>-0.419436289601853</v>
      </c>
      <c r="F10" s="3" t="n">
        <v>-20668795489832.6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 t="n">
        <f aca="false">ABS(D10-SUMIFS($D$2:$D$205,$A$2:$A$205,$A10,$B$2:$B$205,$B10,$C$2:$C$205,100))</f>
        <v>28527.8320093801</v>
      </c>
      <c r="U10" s="3" t="n">
        <f aca="false">ABS(E10-SUMIFS($E$2:$E$205,$A$2:$A$205,$A10,$B$2:$B$205,$B10,$C$2:$C$205,100))</f>
        <v>0.336188273613974</v>
      </c>
      <c r="V10" s="3" t="n">
        <f aca="false">IF(ISBLANK(F10),"",ABS(F10-SUMIFS($F$2:$F$205,$A$2:$A$205,$A10,$B$2:$B$205,$B10,$C$2:$C$205,100)))</f>
        <v>20668795489831.7</v>
      </c>
      <c r="W10" s="3" t="str">
        <f aca="false">IF(ISBLANK(G10),"",ABS(G10-SUMIFS($G$2:$G$205,$A$2:$A$205,$A10,$B$2:$B$205,$B10,$C$2:$C$205,100)))</f>
        <v/>
      </c>
      <c r="X10" s="3" t="str">
        <f aca="false">IF(ISBLANK(H10),"",ABS(H10-SUMIFS($H$2:$H$205,$A$2:$A$205,$A10,$B$2:$B$205,$B10,$C$2:$C$205,100)))</f>
        <v/>
      </c>
      <c r="Y10" s="3" t="str">
        <f aca="false">IF(ISBLANK(I10),"",ABS(I10-SUMIFS($I$2:$I$205,$A$2:$A$205,$A10,$B$2:$B$205,$B10,$C$2:$C$205,100)))</f>
        <v/>
      </c>
      <c r="Z10" s="3" t="str">
        <f aca="false">IF(ISBLANK(J10),"",ABS(J10-SUMIFS($J$2:$J$205,$A$2:$A$205,$A10,$B$2:$B$205,$B10,$C$2:$C$205,100)))</f>
        <v/>
      </c>
      <c r="AA10" s="3" t="str">
        <f aca="false">IF(ISBLANK(K10),"",ABS(K10-SUMIFS($K$2:$K$205,$A$2:$A$205,$A10,$B$2:$B$205,$B10,$C$2:$C$205,100)))</f>
        <v/>
      </c>
      <c r="AB10" s="3" t="str">
        <f aca="false">IF(ISBLANK(L10),"",ABS(L10-SUMIFS($L$2:$L$205,$A$2:$A$205,$A10,$B$2:$B$205,$B10,$C$2:$C$205,100)))</f>
        <v/>
      </c>
      <c r="AC10" s="3" t="str">
        <f aca="false">IF(ISBLANK(M10),"",ABS(M10-SUMIFS($M$2:$M$205,$A$2:$A$205,$A10,$B$2:$B$205,$B10,$C$2:$C$205,100)))</f>
        <v/>
      </c>
      <c r="AD10" s="3" t="str">
        <f aca="false">IF(ISBLANK(N10),"",ABS(N10-SUMIFS($N$2:$N$205,$A$2:$A$205,$A10,$B$2:$B$205,$B10,$C$2:$C$205,100)))</f>
        <v/>
      </c>
      <c r="AE10" s="3" t="str">
        <f aca="false">IF(ISBLANK(O10),"",ABS(O10-SUMIFS($O$2:$O$205,$A$2:$A$205,$A10,$B$2:$B$205,$B10,$C$2:$C$205,100)))</f>
        <v/>
      </c>
      <c r="AF10" s="3" t="str">
        <f aca="false">IF(ISBLANK(P10),"",ABS(P10-SUMIFS($P$2:$P$205,$A$2:$A$205,$A10,$B$2:$B$205,$B10,$C$2:$C$205,100)))</f>
        <v/>
      </c>
      <c r="AG10" s="3" t="str">
        <f aca="false">IF(ISBLANK(Q10),"",ABS(Q10-SUMIFS($Q$2:$Q$205,$A$2:$A$205,$A10,$B$2:$B$205,$B10,$C$2:$C$205,100)))</f>
        <v/>
      </c>
      <c r="AH10" s="3" t="str">
        <f aca="false">IF(ISBLANK(R10),"",ABS(R10-SUMIFS($R$2:$R$205,$A$2:$A$205,$A10,$B$2:$B$205,$B10,$C$2:$C$205,100)))</f>
        <v/>
      </c>
      <c r="AI10" s="3" t="str">
        <f aca="false">IF(ISBLANK(S10),"",ABS(S10-SUMIFS($S$2:$S$205,$A$2:$A$205,$A10,$B$2:$B$205,$B10,$C$2:$C$205,100)))</f>
        <v/>
      </c>
      <c r="AJ10" s="3" t="n">
        <f aca="false">MAX(V10:AI10)</f>
        <v>20668795489831.7</v>
      </c>
    </row>
    <row r="11" customFormat="false" ht="15" hidden="false" customHeight="false" outlineLevel="0" collapsed="false">
      <c r="A11" s="2" t="s">
        <v>36</v>
      </c>
      <c r="B11" s="2" t="s">
        <v>38</v>
      </c>
      <c r="C11" s="2" t="n">
        <v>10</v>
      </c>
      <c r="D11" s="3" t="n">
        <v>-2.94392032467796</v>
      </c>
      <c r="E11" s="3" t="n">
        <v>-0.0824532009730354</v>
      </c>
      <c r="F11" s="3" t="n">
        <v>-0.510305521134339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n">
        <f aca="false">ABS(D11-SUMIFS($D$2:$D$205,$A$2:$A$205,$A11,$B$2:$B$205,$B11,$C$2:$C$205,100))</f>
        <v>0.000880055944315838</v>
      </c>
      <c r="U11" s="3" t="n">
        <f aca="false">ABS(E11-SUMIFS($E$2:$E$205,$A$2:$A$205,$A11,$B$2:$B$205,$B11,$C$2:$C$205,100))</f>
        <v>0.000794815014843589</v>
      </c>
      <c r="V11" s="3" t="n">
        <f aca="false">IF(ISBLANK(F11),"",ABS(F11-SUMIFS($F$2:$F$205,$A$2:$A$205,$A11,$B$2:$B$205,$B11,$C$2:$C$205,100)))</f>
        <v>0.390978822408973</v>
      </c>
      <c r="W11" s="3" t="str">
        <f aca="false">IF(ISBLANK(G11),"",ABS(G11-SUMIFS($G$2:$G$205,$A$2:$A$205,$A11,$B$2:$B$205,$B11,$C$2:$C$205,100)))</f>
        <v/>
      </c>
      <c r="X11" s="3" t="str">
        <f aca="false">IF(ISBLANK(H11),"",ABS(H11-SUMIFS($H$2:$H$205,$A$2:$A$205,$A11,$B$2:$B$205,$B11,$C$2:$C$205,100)))</f>
        <v/>
      </c>
      <c r="Y11" s="3" t="str">
        <f aca="false">IF(ISBLANK(I11),"",ABS(I11-SUMIFS($I$2:$I$205,$A$2:$A$205,$A11,$B$2:$B$205,$B11,$C$2:$C$205,100)))</f>
        <v/>
      </c>
      <c r="Z11" s="3" t="str">
        <f aca="false">IF(ISBLANK(J11),"",ABS(J11-SUMIFS($J$2:$J$205,$A$2:$A$205,$A11,$B$2:$B$205,$B11,$C$2:$C$205,100)))</f>
        <v/>
      </c>
      <c r="AA11" s="3" t="str">
        <f aca="false">IF(ISBLANK(K11),"",ABS(K11-SUMIFS($K$2:$K$205,$A$2:$A$205,$A11,$B$2:$B$205,$B11,$C$2:$C$205,100)))</f>
        <v/>
      </c>
      <c r="AB11" s="3" t="str">
        <f aca="false">IF(ISBLANK(L11),"",ABS(L11-SUMIFS($L$2:$L$205,$A$2:$A$205,$A11,$B$2:$B$205,$B11,$C$2:$C$205,100)))</f>
        <v/>
      </c>
      <c r="AC11" s="3" t="str">
        <f aca="false">IF(ISBLANK(M11),"",ABS(M11-SUMIFS($M$2:$M$205,$A$2:$A$205,$A11,$B$2:$B$205,$B11,$C$2:$C$205,100)))</f>
        <v/>
      </c>
      <c r="AD11" s="3" t="str">
        <f aca="false">IF(ISBLANK(N11),"",ABS(N11-SUMIFS($N$2:$N$205,$A$2:$A$205,$A11,$B$2:$B$205,$B11,$C$2:$C$205,100)))</f>
        <v/>
      </c>
      <c r="AE11" s="3" t="str">
        <f aca="false">IF(ISBLANK(O11),"",ABS(O11-SUMIFS($O$2:$O$205,$A$2:$A$205,$A11,$B$2:$B$205,$B11,$C$2:$C$205,100)))</f>
        <v/>
      </c>
      <c r="AF11" s="3" t="str">
        <f aca="false">IF(ISBLANK(P11),"",ABS(P11-SUMIFS($P$2:$P$205,$A$2:$A$205,$A11,$B$2:$B$205,$B11,$C$2:$C$205,100)))</f>
        <v/>
      </c>
      <c r="AG11" s="3" t="str">
        <f aca="false">IF(ISBLANK(Q11),"",ABS(Q11-SUMIFS($Q$2:$Q$205,$A$2:$A$205,$A11,$B$2:$B$205,$B11,$C$2:$C$205,100)))</f>
        <v/>
      </c>
      <c r="AH11" s="3" t="str">
        <f aca="false">IF(ISBLANK(R11),"",ABS(R11-SUMIFS($R$2:$R$205,$A$2:$A$205,$A11,$B$2:$B$205,$B11,$C$2:$C$205,100)))</f>
        <v/>
      </c>
      <c r="AI11" s="3" t="str">
        <f aca="false">IF(ISBLANK(S11),"",ABS(S11-SUMIFS($S$2:$S$205,$A$2:$A$205,$A11,$B$2:$B$205,$B11,$C$2:$C$205,100)))</f>
        <v/>
      </c>
      <c r="AJ11" s="3" t="n">
        <f aca="false">MAX(V11:AI11)</f>
        <v>0.390978822408973</v>
      </c>
    </row>
    <row r="12" customFormat="false" ht="15" hidden="false" customHeight="false" outlineLevel="0" collapsed="false">
      <c r="A12" s="2" t="s">
        <v>36</v>
      </c>
      <c r="B12" s="2" t="s">
        <v>38</v>
      </c>
      <c r="C12" s="2" t="n">
        <v>15</v>
      </c>
      <c r="D12" s="3" t="n">
        <v>-2.94477310034236</v>
      </c>
      <c r="E12" s="3" t="n">
        <v>-0.083226638791725</v>
      </c>
      <c r="F12" s="3" t="n">
        <v>-0.644577551797864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n">
        <f aca="false">ABS(D12-SUMIFS($D$2:$D$205,$A$2:$A$205,$A12,$B$2:$B$205,$B12,$C$2:$C$205,100))</f>
        <v>2.7280279924824E-005</v>
      </c>
      <c r="U12" s="3" t="n">
        <f aca="false">ABS(E12-SUMIFS($E$2:$E$205,$A$2:$A$205,$A12,$B$2:$B$205,$B12,$C$2:$C$205,100))</f>
        <v>2.13771961539849E-005</v>
      </c>
      <c r="V12" s="3" t="n">
        <f aca="false">IF(ISBLANK(F12),"",ABS(F12-SUMIFS($F$2:$F$205,$A$2:$A$205,$A12,$B$2:$B$205,$B12,$C$2:$C$205,100)))</f>
        <v>0.256706791745448</v>
      </c>
      <c r="W12" s="3" t="str">
        <f aca="false">IF(ISBLANK(G12),"",ABS(G12-SUMIFS($G$2:$G$205,$A$2:$A$205,$A12,$B$2:$B$205,$B12,$C$2:$C$205,100)))</f>
        <v/>
      </c>
      <c r="X12" s="3" t="str">
        <f aca="false">IF(ISBLANK(H12),"",ABS(H12-SUMIFS($H$2:$H$205,$A$2:$A$205,$A12,$B$2:$B$205,$B12,$C$2:$C$205,100)))</f>
        <v/>
      </c>
      <c r="Y12" s="3" t="str">
        <f aca="false">IF(ISBLANK(I12),"",ABS(I12-SUMIFS($I$2:$I$205,$A$2:$A$205,$A12,$B$2:$B$205,$B12,$C$2:$C$205,100)))</f>
        <v/>
      </c>
      <c r="Z12" s="3" t="str">
        <f aca="false">IF(ISBLANK(J12),"",ABS(J12-SUMIFS($J$2:$J$205,$A$2:$A$205,$A12,$B$2:$B$205,$B12,$C$2:$C$205,100)))</f>
        <v/>
      </c>
      <c r="AA12" s="3" t="str">
        <f aca="false">IF(ISBLANK(K12),"",ABS(K12-SUMIFS($K$2:$K$205,$A$2:$A$205,$A12,$B$2:$B$205,$B12,$C$2:$C$205,100)))</f>
        <v/>
      </c>
      <c r="AB12" s="3" t="str">
        <f aca="false">IF(ISBLANK(L12),"",ABS(L12-SUMIFS($L$2:$L$205,$A$2:$A$205,$A12,$B$2:$B$205,$B12,$C$2:$C$205,100)))</f>
        <v/>
      </c>
      <c r="AC12" s="3" t="str">
        <f aca="false">IF(ISBLANK(M12),"",ABS(M12-SUMIFS($M$2:$M$205,$A$2:$A$205,$A12,$B$2:$B$205,$B12,$C$2:$C$205,100)))</f>
        <v/>
      </c>
      <c r="AD12" s="3" t="str">
        <f aca="false">IF(ISBLANK(N12),"",ABS(N12-SUMIFS($N$2:$N$205,$A$2:$A$205,$A12,$B$2:$B$205,$B12,$C$2:$C$205,100)))</f>
        <v/>
      </c>
      <c r="AE12" s="3" t="str">
        <f aca="false">IF(ISBLANK(O12),"",ABS(O12-SUMIFS($O$2:$O$205,$A$2:$A$205,$A12,$B$2:$B$205,$B12,$C$2:$C$205,100)))</f>
        <v/>
      </c>
      <c r="AF12" s="3" t="str">
        <f aca="false">IF(ISBLANK(P12),"",ABS(P12-SUMIFS($P$2:$P$205,$A$2:$A$205,$A12,$B$2:$B$205,$B12,$C$2:$C$205,100)))</f>
        <v/>
      </c>
      <c r="AG12" s="3" t="str">
        <f aca="false">IF(ISBLANK(Q12),"",ABS(Q12-SUMIFS($Q$2:$Q$205,$A$2:$A$205,$A12,$B$2:$B$205,$B12,$C$2:$C$205,100)))</f>
        <v/>
      </c>
      <c r="AH12" s="3" t="str">
        <f aca="false">IF(ISBLANK(R12),"",ABS(R12-SUMIFS($R$2:$R$205,$A$2:$A$205,$A12,$B$2:$B$205,$B12,$C$2:$C$205,100)))</f>
        <v/>
      </c>
      <c r="AI12" s="3" t="str">
        <f aca="false">IF(ISBLANK(S12),"",ABS(S12-SUMIFS($S$2:$S$205,$A$2:$A$205,$A12,$B$2:$B$205,$B12,$C$2:$C$205,100)))</f>
        <v/>
      </c>
      <c r="AJ12" s="3" t="n">
        <f aca="false">MAX(V12:AI12)</f>
        <v>0.256706791745448</v>
      </c>
    </row>
    <row r="13" customFormat="false" ht="15" hidden="false" customHeight="false" outlineLevel="0" collapsed="false">
      <c r="A13" s="2" t="s">
        <v>36</v>
      </c>
      <c r="B13" s="2" t="s">
        <v>38</v>
      </c>
      <c r="C13" s="2" t="n">
        <v>20</v>
      </c>
      <c r="D13" s="3" t="n">
        <v>-2.94479807800394</v>
      </c>
      <c r="E13" s="3" t="n">
        <v>-0.0832466966100906</v>
      </c>
      <c r="F13" s="3" t="n">
        <v>-0.724074266679028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n">
        <f aca="false">ABS(D13-SUMIFS($D$2:$D$205,$A$2:$A$205,$A13,$B$2:$B$205,$B13,$C$2:$C$205,100))</f>
        <v>2.3026183439967E-006</v>
      </c>
      <c r="U13" s="3" t="n">
        <f aca="false">ABS(E13-SUMIFS($E$2:$E$205,$A$2:$A$205,$A13,$B$2:$B$205,$B13,$C$2:$C$205,100))</f>
        <v>1.31937778835578E-006</v>
      </c>
      <c r="V13" s="3" t="n">
        <f aca="false">IF(ISBLANK(F13),"",ABS(F13-SUMIFS($F$2:$F$205,$A$2:$A$205,$A13,$B$2:$B$205,$B13,$C$2:$C$205,100)))</f>
        <v>0.177210076864284</v>
      </c>
      <c r="W13" s="3" t="str">
        <f aca="false">IF(ISBLANK(G13),"",ABS(G13-SUMIFS($G$2:$G$205,$A$2:$A$205,$A13,$B$2:$B$205,$B13,$C$2:$C$205,100)))</f>
        <v/>
      </c>
      <c r="X13" s="3" t="str">
        <f aca="false">IF(ISBLANK(H13),"",ABS(H13-SUMIFS($H$2:$H$205,$A$2:$A$205,$A13,$B$2:$B$205,$B13,$C$2:$C$205,100)))</f>
        <v/>
      </c>
      <c r="Y13" s="3" t="str">
        <f aca="false">IF(ISBLANK(I13),"",ABS(I13-SUMIFS($I$2:$I$205,$A$2:$A$205,$A13,$B$2:$B$205,$B13,$C$2:$C$205,100)))</f>
        <v/>
      </c>
      <c r="Z13" s="3" t="str">
        <f aca="false">IF(ISBLANK(J13),"",ABS(J13-SUMIFS($J$2:$J$205,$A$2:$A$205,$A13,$B$2:$B$205,$B13,$C$2:$C$205,100)))</f>
        <v/>
      </c>
      <c r="AA13" s="3" t="str">
        <f aca="false">IF(ISBLANK(K13),"",ABS(K13-SUMIFS($K$2:$K$205,$A$2:$A$205,$A13,$B$2:$B$205,$B13,$C$2:$C$205,100)))</f>
        <v/>
      </c>
      <c r="AB13" s="3" t="str">
        <f aca="false">IF(ISBLANK(L13),"",ABS(L13-SUMIFS($L$2:$L$205,$A$2:$A$205,$A13,$B$2:$B$205,$B13,$C$2:$C$205,100)))</f>
        <v/>
      </c>
      <c r="AC13" s="3" t="str">
        <f aca="false">IF(ISBLANK(M13),"",ABS(M13-SUMIFS($M$2:$M$205,$A$2:$A$205,$A13,$B$2:$B$205,$B13,$C$2:$C$205,100)))</f>
        <v/>
      </c>
      <c r="AD13" s="3" t="str">
        <f aca="false">IF(ISBLANK(N13),"",ABS(N13-SUMIFS($N$2:$N$205,$A$2:$A$205,$A13,$B$2:$B$205,$B13,$C$2:$C$205,100)))</f>
        <v/>
      </c>
      <c r="AE13" s="3" t="str">
        <f aca="false">IF(ISBLANK(O13),"",ABS(O13-SUMIFS($O$2:$O$205,$A$2:$A$205,$A13,$B$2:$B$205,$B13,$C$2:$C$205,100)))</f>
        <v/>
      </c>
      <c r="AF13" s="3" t="str">
        <f aca="false">IF(ISBLANK(P13),"",ABS(P13-SUMIFS($P$2:$P$205,$A$2:$A$205,$A13,$B$2:$B$205,$B13,$C$2:$C$205,100)))</f>
        <v/>
      </c>
      <c r="AG13" s="3" t="str">
        <f aca="false">IF(ISBLANK(Q13),"",ABS(Q13-SUMIFS($Q$2:$Q$205,$A$2:$A$205,$A13,$B$2:$B$205,$B13,$C$2:$C$205,100)))</f>
        <v/>
      </c>
      <c r="AH13" s="3" t="str">
        <f aca="false">IF(ISBLANK(R13),"",ABS(R13-SUMIFS($R$2:$R$205,$A$2:$A$205,$A13,$B$2:$B$205,$B13,$C$2:$C$205,100)))</f>
        <v/>
      </c>
      <c r="AI13" s="3" t="str">
        <f aca="false">IF(ISBLANK(S13),"",ABS(S13-SUMIFS($S$2:$S$205,$A$2:$A$205,$A13,$B$2:$B$205,$B13,$C$2:$C$205,100)))</f>
        <v/>
      </c>
      <c r="AJ13" s="3" t="n">
        <f aca="false">MAX(V13:AI13)</f>
        <v>0.177210076864284</v>
      </c>
    </row>
    <row r="14" customFormat="false" ht="15" hidden="false" customHeight="false" outlineLevel="0" collapsed="false">
      <c r="A14" s="2" t="s">
        <v>36</v>
      </c>
      <c r="B14" s="2" t="s">
        <v>38</v>
      </c>
      <c r="C14" s="2" t="n">
        <v>30</v>
      </c>
      <c r="D14" s="3" t="n">
        <v>-2.94480037905351</v>
      </c>
      <c r="E14" s="3" t="n">
        <v>-0.0832480490366861</v>
      </c>
      <c r="F14" s="3" t="n">
        <v>-0.80349312760801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 t="n">
        <f aca="false">ABS(D14-SUMIFS($D$2:$D$205,$A$2:$A$205,$A14,$B$2:$B$205,$B14,$C$2:$C$205,100))</f>
        <v>1.56876689416663E-009</v>
      </c>
      <c r="U14" s="3" t="n">
        <f aca="false">ABS(E14-SUMIFS($E$2:$E$205,$A$2:$A$205,$A14,$B$2:$B$205,$B14,$C$2:$C$205,100))</f>
        <v>3.30488071215163E-008</v>
      </c>
      <c r="V14" s="3" t="n">
        <f aca="false">IF(ISBLANK(F14),"",ABS(F14-SUMIFS($F$2:$F$205,$A$2:$A$205,$A14,$B$2:$B$205,$B14,$C$2:$C$205,100)))</f>
        <v>0.0977912159353026</v>
      </c>
      <c r="W14" s="3" t="str">
        <f aca="false">IF(ISBLANK(G14),"",ABS(G14-SUMIFS($G$2:$G$205,$A$2:$A$205,$A14,$B$2:$B$205,$B14,$C$2:$C$205,100)))</f>
        <v/>
      </c>
      <c r="X14" s="3" t="str">
        <f aca="false">IF(ISBLANK(H14),"",ABS(H14-SUMIFS($H$2:$H$205,$A$2:$A$205,$A14,$B$2:$B$205,$B14,$C$2:$C$205,100)))</f>
        <v/>
      </c>
      <c r="Y14" s="3" t="str">
        <f aca="false">IF(ISBLANK(I14),"",ABS(I14-SUMIFS($I$2:$I$205,$A$2:$A$205,$A14,$B$2:$B$205,$B14,$C$2:$C$205,100)))</f>
        <v/>
      </c>
      <c r="Z14" s="3" t="str">
        <f aca="false">IF(ISBLANK(J14),"",ABS(J14-SUMIFS($J$2:$J$205,$A$2:$A$205,$A14,$B$2:$B$205,$B14,$C$2:$C$205,100)))</f>
        <v/>
      </c>
      <c r="AA14" s="3" t="str">
        <f aca="false">IF(ISBLANK(K14),"",ABS(K14-SUMIFS($K$2:$K$205,$A$2:$A$205,$A14,$B$2:$B$205,$B14,$C$2:$C$205,100)))</f>
        <v/>
      </c>
      <c r="AB14" s="3" t="str">
        <f aca="false">IF(ISBLANK(L14),"",ABS(L14-SUMIFS($L$2:$L$205,$A$2:$A$205,$A14,$B$2:$B$205,$B14,$C$2:$C$205,100)))</f>
        <v/>
      </c>
      <c r="AC14" s="3" t="str">
        <f aca="false">IF(ISBLANK(M14),"",ABS(M14-SUMIFS($M$2:$M$205,$A$2:$A$205,$A14,$B$2:$B$205,$B14,$C$2:$C$205,100)))</f>
        <v/>
      </c>
      <c r="AD14" s="3" t="str">
        <f aca="false">IF(ISBLANK(N14),"",ABS(N14-SUMIFS($N$2:$N$205,$A$2:$A$205,$A14,$B$2:$B$205,$B14,$C$2:$C$205,100)))</f>
        <v/>
      </c>
      <c r="AE14" s="3" t="str">
        <f aca="false">IF(ISBLANK(O14),"",ABS(O14-SUMIFS($O$2:$O$205,$A$2:$A$205,$A14,$B$2:$B$205,$B14,$C$2:$C$205,100)))</f>
        <v/>
      </c>
      <c r="AF14" s="3" t="str">
        <f aca="false">IF(ISBLANK(P14),"",ABS(P14-SUMIFS($P$2:$P$205,$A$2:$A$205,$A14,$B$2:$B$205,$B14,$C$2:$C$205,100)))</f>
        <v/>
      </c>
      <c r="AG14" s="3" t="str">
        <f aca="false">IF(ISBLANK(Q14),"",ABS(Q14-SUMIFS($Q$2:$Q$205,$A$2:$A$205,$A14,$B$2:$B$205,$B14,$C$2:$C$205,100)))</f>
        <v/>
      </c>
      <c r="AH14" s="3" t="str">
        <f aca="false">IF(ISBLANK(R14),"",ABS(R14-SUMIFS($R$2:$R$205,$A$2:$A$205,$A14,$B$2:$B$205,$B14,$C$2:$C$205,100)))</f>
        <v/>
      </c>
      <c r="AI14" s="3" t="str">
        <f aca="false">IF(ISBLANK(S14),"",ABS(S14-SUMIFS($S$2:$S$205,$A$2:$A$205,$A14,$B$2:$B$205,$B14,$C$2:$C$205,100)))</f>
        <v/>
      </c>
      <c r="AJ14" s="3" t="n">
        <f aca="false">MAX(V14:AI14)</f>
        <v>0.0977912159353026</v>
      </c>
    </row>
    <row r="15" customFormat="false" ht="15" hidden="false" customHeight="false" outlineLevel="0" collapsed="false">
      <c r="A15" s="2" t="s">
        <v>36</v>
      </c>
      <c r="B15" s="2" t="s">
        <v>38</v>
      </c>
      <c r="C15" s="2" t="n">
        <v>50</v>
      </c>
      <c r="D15" s="3" t="n">
        <v>-2.94480038062365</v>
      </c>
      <c r="E15" s="3" t="n">
        <v>-0.083248015994059</v>
      </c>
      <c r="F15" s="3" t="n">
        <v>-0.901272082306788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n">
        <f aca="false">ABS(D15-SUMIFS($D$2:$D$205,$A$2:$A$205,$A15,$B$2:$B$205,$B15,$C$2:$C$205,100))</f>
        <v>1.36601840949879E-012</v>
      </c>
      <c r="U15" s="3" t="n">
        <f aca="false">ABS(E15-SUMIFS($E$2:$E$205,$A$2:$A$205,$A15,$B$2:$B$205,$B15,$C$2:$C$205,100))</f>
        <v>6.18005646657593E-012</v>
      </c>
      <c r="V15" s="3" t="n">
        <f aca="false">IF(ISBLANK(F15),"",ABS(F15-SUMIFS($F$2:$F$205,$A$2:$A$205,$A15,$B$2:$B$205,$B15,$C$2:$C$205,100)))</f>
        <v>1.22612365238695E-005</v>
      </c>
      <c r="W15" s="3" t="str">
        <f aca="false">IF(ISBLANK(G15),"",ABS(G15-SUMIFS($G$2:$G$205,$A$2:$A$205,$A15,$B$2:$B$205,$B15,$C$2:$C$205,100)))</f>
        <v/>
      </c>
      <c r="X15" s="3" t="str">
        <f aca="false">IF(ISBLANK(H15),"",ABS(H15-SUMIFS($H$2:$H$205,$A$2:$A$205,$A15,$B$2:$B$205,$B15,$C$2:$C$205,100)))</f>
        <v/>
      </c>
      <c r="Y15" s="3" t="str">
        <f aca="false">IF(ISBLANK(I15),"",ABS(I15-SUMIFS($I$2:$I$205,$A$2:$A$205,$A15,$B$2:$B$205,$B15,$C$2:$C$205,100)))</f>
        <v/>
      </c>
      <c r="Z15" s="3" t="str">
        <f aca="false">IF(ISBLANK(J15),"",ABS(J15-SUMIFS($J$2:$J$205,$A$2:$A$205,$A15,$B$2:$B$205,$B15,$C$2:$C$205,100)))</f>
        <v/>
      </c>
      <c r="AA15" s="3" t="str">
        <f aca="false">IF(ISBLANK(K15),"",ABS(K15-SUMIFS($K$2:$K$205,$A$2:$A$205,$A15,$B$2:$B$205,$B15,$C$2:$C$205,100)))</f>
        <v/>
      </c>
      <c r="AB15" s="3" t="str">
        <f aca="false">IF(ISBLANK(L15),"",ABS(L15-SUMIFS($L$2:$L$205,$A$2:$A$205,$A15,$B$2:$B$205,$B15,$C$2:$C$205,100)))</f>
        <v/>
      </c>
      <c r="AC15" s="3" t="str">
        <f aca="false">IF(ISBLANK(M15),"",ABS(M15-SUMIFS($M$2:$M$205,$A$2:$A$205,$A15,$B$2:$B$205,$B15,$C$2:$C$205,100)))</f>
        <v/>
      </c>
      <c r="AD15" s="3" t="str">
        <f aca="false">IF(ISBLANK(N15),"",ABS(N15-SUMIFS($N$2:$N$205,$A$2:$A$205,$A15,$B$2:$B$205,$B15,$C$2:$C$205,100)))</f>
        <v/>
      </c>
      <c r="AE15" s="3" t="str">
        <f aca="false">IF(ISBLANK(O15),"",ABS(O15-SUMIFS($O$2:$O$205,$A$2:$A$205,$A15,$B$2:$B$205,$B15,$C$2:$C$205,100)))</f>
        <v/>
      </c>
      <c r="AF15" s="3" t="str">
        <f aca="false">IF(ISBLANK(P15),"",ABS(P15-SUMIFS($P$2:$P$205,$A$2:$A$205,$A15,$B$2:$B$205,$B15,$C$2:$C$205,100)))</f>
        <v/>
      </c>
      <c r="AG15" s="3" t="str">
        <f aca="false">IF(ISBLANK(Q15),"",ABS(Q15-SUMIFS($Q$2:$Q$205,$A$2:$A$205,$A15,$B$2:$B$205,$B15,$C$2:$C$205,100)))</f>
        <v/>
      </c>
      <c r="AH15" s="3" t="str">
        <f aca="false">IF(ISBLANK(R15),"",ABS(R15-SUMIFS($R$2:$R$205,$A$2:$A$205,$A15,$B$2:$B$205,$B15,$C$2:$C$205,100)))</f>
        <v/>
      </c>
      <c r="AI15" s="3" t="str">
        <f aca="false">IF(ISBLANK(S15),"",ABS(S15-SUMIFS($S$2:$S$205,$A$2:$A$205,$A15,$B$2:$B$205,$B15,$C$2:$C$205,100)))</f>
        <v/>
      </c>
      <c r="AJ15" s="3" t="n">
        <f aca="false">MAX(V15:AI15)</f>
        <v>1.22612365238695E-005</v>
      </c>
    </row>
    <row r="16" customFormat="false" ht="15" hidden="false" customHeight="false" outlineLevel="0" collapsed="false">
      <c r="A16" s="2" t="s">
        <v>36</v>
      </c>
      <c r="B16" s="2" t="s">
        <v>38</v>
      </c>
      <c r="C16" s="2" t="n">
        <v>80</v>
      </c>
      <c r="D16" s="3" t="n">
        <v>-2.94480038062223</v>
      </c>
      <c r="E16" s="3" t="n">
        <v>-0.0832480159878629</v>
      </c>
      <c r="F16" s="3" t="n">
        <v>-0.901284344235883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n">
        <f aca="false">ABS(D16-SUMIFS($D$2:$D$205,$A$2:$A$205,$A16,$B$2:$B$205,$B16,$C$2:$C$205,100))</f>
        <v>5.37347943918576E-014</v>
      </c>
      <c r="U16" s="3" t="n">
        <f aca="false">ABS(E16-SUMIFS($E$2:$E$205,$A$2:$A$205,$A16,$B$2:$B$205,$B16,$C$2:$C$205,100))</f>
        <v>1.60704782814491E-014</v>
      </c>
      <c r="V16" s="3" t="n">
        <f aca="false">IF(ISBLANK(F16),"",ABS(F16-SUMIFS($F$2:$F$205,$A$2:$A$205,$A16,$B$2:$B$205,$B16,$C$2:$C$205,100)))</f>
        <v>6.92570556459771E-010</v>
      </c>
      <c r="W16" s="3" t="str">
        <f aca="false">IF(ISBLANK(G16),"",ABS(G16-SUMIFS($G$2:$G$205,$A$2:$A$205,$A16,$B$2:$B$205,$B16,$C$2:$C$205,100)))</f>
        <v/>
      </c>
      <c r="X16" s="3" t="str">
        <f aca="false">IF(ISBLANK(H16),"",ABS(H16-SUMIFS($H$2:$H$205,$A$2:$A$205,$A16,$B$2:$B$205,$B16,$C$2:$C$205,100)))</f>
        <v/>
      </c>
      <c r="Y16" s="3" t="str">
        <f aca="false">IF(ISBLANK(I16),"",ABS(I16-SUMIFS($I$2:$I$205,$A$2:$A$205,$A16,$B$2:$B$205,$B16,$C$2:$C$205,100)))</f>
        <v/>
      </c>
      <c r="Z16" s="3" t="str">
        <f aca="false">IF(ISBLANK(J16),"",ABS(J16-SUMIFS($J$2:$J$205,$A$2:$A$205,$A16,$B$2:$B$205,$B16,$C$2:$C$205,100)))</f>
        <v/>
      </c>
      <c r="AA16" s="3" t="str">
        <f aca="false">IF(ISBLANK(K16),"",ABS(K16-SUMIFS($K$2:$K$205,$A$2:$A$205,$A16,$B$2:$B$205,$B16,$C$2:$C$205,100)))</f>
        <v/>
      </c>
      <c r="AB16" s="3" t="str">
        <f aca="false">IF(ISBLANK(L16),"",ABS(L16-SUMIFS($L$2:$L$205,$A$2:$A$205,$A16,$B$2:$B$205,$B16,$C$2:$C$205,100)))</f>
        <v/>
      </c>
      <c r="AC16" s="3" t="str">
        <f aca="false">IF(ISBLANK(M16),"",ABS(M16-SUMIFS($M$2:$M$205,$A$2:$A$205,$A16,$B$2:$B$205,$B16,$C$2:$C$205,100)))</f>
        <v/>
      </c>
      <c r="AD16" s="3" t="str">
        <f aca="false">IF(ISBLANK(N16),"",ABS(N16-SUMIFS($N$2:$N$205,$A$2:$A$205,$A16,$B$2:$B$205,$B16,$C$2:$C$205,100)))</f>
        <v/>
      </c>
      <c r="AE16" s="3" t="str">
        <f aca="false">IF(ISBLANK(O16),"",ABS(O16-SUMIFS($O$2:$O$205,$A$2:$A$205,$A16,$B$2:$B$205,$B16,$C$2:$C$205,100)))</f>
        <v/>
      </c>
      <c r="AF16" s="3" t="str">
        <f aca="false">IF(ISBLANK(P16),"",ABS(P16-SUMIFS($P$2:$P$205,$A$2:$A$205,$A16,$B$2:$B$205,$B16,$C$2:$C$205,100)))</f>
        <v/>
      </c>
      <c r="AG16" s="3" t="str">
        <f aca="false">IF(ISBLANK(Q16),"",ABS(Q16-SUMIFS($Q$2:$Q$205,$A$2:$A$205,$A16,$B$2:$B$205,$B16,$C$2:$C$205,100)))</f>
        <v/>
      </c>
      <c r="AH16" s="3" t="str">
        <f aca="false">IF(ISBLANK(R16),"",ABS(R16-SUMIFS($R$2:$R$205,$A$2:$A$205,$A16,$B$2:$B$205,$B16,$C$2:$C$205,100)))</f>
        <v/>
      </c>
      <c r="AI16" s="3" t="str">
        <f aca="false">IF(ISBLANK(S16),"",ABS(S16-SUMIFS($S$2:$S$205,$A$2:$A$205,$A16,$B$2:$B$205,$B16,$C$2:$C$205,100)))</f>
        <v/>
      </c>
      <c r="AJ16" s="3" t="n">
        <f aca="false">MAX(V16:AI16)</f>
        <v>6.92570556459771E-010</v>
      </c>
    </row>
    <row r="17" customFormat="false" ht="15" hidden="false" customHeight="false" outlineLevel="0" collapsed="false">
      <c r="A17" s="4" t="s">
        <v>36</v>
      </c>
      <c r="B17" s="4" t="s">
        <v>38</v>
      </c>
      <c r="C17" s="4" t="n">
        <v>100</v>
      </c>
      <c r="D17" s="5" t="n">
        <v>-2.94480038062228</v>
      </c>
      <c r="E17" s="5" t="n">
        <v>-0.083248015987879</v>
      </c>
      <c r="F17" s="3" t="n">
        <v>-0.901284343543312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 t="n">
        <f aca="false">ABS(D17-SUMIFS($D$2:$D$205,$A$2:$A$205,$A17,$B$2:$B$205,$B17,$C$2:$C$205,100))</f>
        <v>0</v>
      </c>
      <c r="U17" s="3" t="n">
        <f aca="false">ABS(E17-SUMIFS($E$2:$E$205,$A$2:$A$205,$A17,$B$2:$B$205,$B17,$C$2:$C$205,100))</f>
        <v>0</v>
      </c>
      <c r="V17" s="3" t="n">
        <f aca="false">IF(ISBLANK(F17),"",ABS(F17-SUMIFS($F$2:$F$205,$A$2:$A$205,$A17,$B$2:$B$205,$B17,$C$2:$C$205,100)))</f>
        <v>0</v>
      </c>
      <c r="W17" s="3" t="str">
        <f aca="false">IF(ISBLANK(G17),"",ABS(G17-SUMIFS($G$2:$G$205,$A$2:$A$205,$A17,$B$2:$B$205,$B17,$C$2:$C$205,100)))</f>
        <v/>
      </c>
      <c r="X17" s="3" t="str">
        <f aca="false">IF(ISBLANK(H17),"",ABS(H17-SUMIFS($H$2:$H$205,$A$2:$A$205,$A17,$B$2:$B$205,$B17,$C$2:$C$205,100)))</f>
        <v/>
      </c>
      <c r="Y17" s="3" t="str">
        <f aca="false">IF(ISBLANK(I17),"",ABS(I17-SUMIFS($I$2:$I$205,$A$2:$A$205,$A17,$B$2:$B$205,$B17,$C$2:$C$205,100)))</f>
        <v/>
      </c>
      <c r="Z17" s="3" t="str">
        <f aca="false">IF(ISBLANK(J17),"",ABS(J17-SUMIFS($J$2:$J$205,$A$2:$A$205,$A17,$B$2:$B$205,$B17,$C$2:$C$205,100)))</f>
        <v/>
      </c>
      <c r="AA17" s="3" t="str">
        <f aca="false">IF(ISBLANK(K17),"",ABS(K17-SUMIFS($K$2:$K$205,$A$2:$A$205,$A17,$B$2:$B$205,$B17,$C$2:$C$205,100)))</f>
        <v/>
      </c>
      <c r="AB17" s="3" t="str">
        <f aca="false">IF(ISBLANK(L17),"",ABS(L17-SUMIFS($L$2:$L$205,$A$2:$A$205,$A17,$B$2:$B$205,$B17,$C$2:$C$205,100)))</f>
        <v/>
      </c>
      <c r="AC17" s="3" t="str">
        <f aca="false">IF(ISBLANK(M17),"",ABS(M17-SUMIFS($M$2:$M$205,$A$2:$A$205,$A17,$B$2:$B$205,$B17,$C$2:$C$205,100)))</f>
        <v/>
      </c>
      <c r="AD17" s="3" t="str">
        <f aca="false">IF(ISBLANK(N17),"",ABS(N17-SUMIFS($N$2:$N$205,$A$2:$A$205,$A17,$B$2:$B$205,$B17,$C$2:$C$205,100)))</f>
        <v/>
      </c>
      <c r="AE17" s="3" t="str">
        <f aca="false">IF(ISBLANK(O17),"",ABS(O17-SUMIFS($O$2:$O$205,$A$2:$A$205,$A17,$B$2:$B$205,$B17,$C$2:$C$205,100)))</f>
        <v/>
      </c>
      <c r="AF17" s="3" t="str">
        <f aca="false">IF(ISBLANK(P17),"",ABS(P17-SUMIFS($P$2:$P$205,$A$2:$A$205,$A17,$B$2:$B$205,$B17,$C$2:$C$205,100)))</f>
        <v/>
      </c>
      <c r="AG17" s="3" t="str">
        <f aca="false">IF(ISBLANK(Q17),"",ABS(Q17-SUMIFS($Q$2:$Q$205,$A$2:$A$205,$A17,$B$2:$B$205,$B17,$C$2:$C$205,100)))</f>
        <v/>
      </c>
      <c r="AH17" s="3" t="str">
        <f aca="false">IF(ISBLANK(R17),"",ABS(R17-SUMIFS($R$2:$R$205,$A$2:$A$205,$A17,$B$2:$B$205,$B17,$C$2:$C$205,100)))</f>
        <v/>
      </c>
      <c r="AI17" s="3" t="str">
        <f aca="false">IF(ISBLANK(S17),"",ABS(S17-SUMIFS($S$2:$S$205,$A$2:$A$205,$A17,$B$2:$B$205,$B17,$C$2:$C$205,100)))</f>
        <v/>
      </c>
      <c r="AJ17" s="3" t="n">
        <f aca="false">MAX(V17:AI17)</f>
        <v>0</v>
      </c>
    </row>
    <row r="18" customFormat="false" ht="15" hidden="false" customHeight="false" outlineLevel="0" collapsed="false">
      <c r="A18" s="2" t="s">
        <v>36</v>
      </c>
      <c r="B18" s="2" t="s">
        <v>39</v>
      </c>
      <c r="C18" s="2" t="n">
        <v>5</v>
      </c>
      <c r="D18" s="3" t="n">
        <v>-2.94462649403689</v>
      </c>
      <c r="E18" s="3" t="n">
        <v>-0.0836257242613263</v>
      </c>
      <c r="F18" s="3" t="n">
        <v>-0.657203523339559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 t="n">
        <f aca="false">ABS(D18-SUMIFS($D$2:$D$205,$A$2:$A$205,$A18,$B$2:$B$205,$B18,$C$2:$C$205,100))</f>
        <v>0.000173886585340899</v>
      </c>
      <c r="U18" s="3" t="n">
        <f aca="false">ABS(E18-SUMIFS($E$2:$E$205,$A$2:$A$205,$A18,$B$2:$B$205,$B18,$C$2:$C$205,100))</f>
        <v>0.000377708273451211</v>
      </c>
      <c r="V18" s="3" t="n">
        <f aca="false">IF(ISBLANK(F18),"",ABS(F18-SUMIFS($F$2:$F$205,$A$2:$A$205,$A18,$B$2:$B$205,$B18,$C$2:$C$205,100)))</f>
        <v>0.244080819696994</v>
      </c>
      <c r="W18" s="3" t="str">
        <f aca="false">IF(ISBLANK(G18),"",ABS(G18-SUMIFS($G$2:$G$205,$A$2:$A$205,$A18,$B$2:$B$205,$B18,$C$2:$C$205,100)))</f>
        <v/>
      </c>
      <c r="X18" s="3" t="str">
        <f aca="false">IF(ISBLANK(H18),"",ABS(H18-SUMIFS($H$2:$H$205,$A$2:$A$205,$A18,$B$2:$B$205,$B18,$C$2:$C$205,100)))</f>
        <v/>
      </c>
      <c r="Y18" s="3" t="str">
        <f aca="false">IF(ISBLANK(I18),"",ABS(I18-SUMIFS($I$2:$I$205,$A$2:$A$205,$A18,$B$2:$B$205,$B18,$C$2:$C$205,100)))</f>
        <v/>
      </c>
      <c r="Z18" s="3" t="str">
        <f aca="false">IF(ISBLANK(J18),"",ABS(J18-SUMIFS($J$2:$J$205,$A$2:$A$205,$A18,$B$2:$B$205,$B18,$C$2:$C$205,100)))</f>
        <v/>
      </c>
      <c r="AA18" s="3" t="str">
        <f aca="false">IF(ISBLANK(K18),"",ABS(K18-SUMIFS($K$2:$K$205,$A$2:$A$205,$A18,$B$2:$B$205,$B18,$C$2:$C$205,100)))</f>
        <v/>
      </c>
      <c r="AB18" s="3" t="str">
        <f aca="false">IF(ISBLANK(L18),"",ABS(L18-SUMIFS($L$2:$L$205,$A$2:$A$205,$A18,$B$2:$B$205,$B18,$C$2:$C$205,100)))</f>
        <v/>
      </c>
      <c r="AC18" s="3" t="str">
        <f aca="false">IF(ISBLANK(M18),"",ABS(M18-SUMIFS($M$2:$M$205,$A$2:$A$205,$A18,$B$2:$B$205,$B18,$C$2:$C$205,100)))</f>
        <v/>
      </c>
      <c r="AD18" s="3" t="str">
        <f aca="false">IF(ISBLANK(N18),"",ABS(N18-SUMIFS($N$2:$N$205,$A$2:$A$205,$A18,$B$2:$B$205,$B18,$C$2:$C$205,100)))</f>
        <v/>
      </c>
      <c r="AE18" s="3" t="str">
        <f aca="false">IF(ISBLANK(O18),"",ABS(O18-SUMIFS($O$2:$O$205,$A$2:$A$205,$A18,$B$2:$B$205,$B18,$C$2:$C$205,100)))</f>
        <v/>
      </c>
      <c r="AF18" s="3" t="str">
        <f aca="false">IF(ISBLANK(P18),"",ABS(P18-SUMIFS($P$2:$P$205,$A$2:$A$205,$A18,$B$2:$B$205,$B18,$C$2:$C$205,100)))</f>
        <v/>
      </c>
      <c r="AG18" s="3" t="str">
        <f aca="false">IF(ISBLANK(Q18),"",ABS(Q18-SUMIFS($Q$2:$Q$205,$A$2:$A$205,$A18,$B$2:$B$205,$B18,$C$2:$C$205,100)))</f>
        <v/>
      </c>
      <c r="AH18" s="3" t="str">
        <f aca="false">IF(ISBLANK(R18),"",ABS(R18-SUMIFS($R$2:$R$205,$A$2:$A$205,$A18,$B$2:$B$205,$B18,$C$2:$C$205,100)))</f>
        <v/>
      </c>
      <c r="AI18" s="3" t="str">
        <f aca="false">IF(ISBLANK(S18),"",ABS(S18-SUMIFS($S$2:$S$205,$A$2:$A$205,$A18,$B$2:$B$205,$B18,$C$2:$C$205,100)))</f>
        <v/>
      </c>
      <c r="AJ18" s="3" t="n">
        <f aca="false">MAX(V18:AI18)</f>
        <v>0.244080819696994</v>
      </c>
    </row>
    <row r="19" customFormat="false" ht="15" hidden="false" customHeight="false" outlineLevel="0" collapsed="false">
      <c r="A19" s="2" t="s">
        <v>36</v>
      </c>
      <c r="B19" s="2" t="s">
        <v>39</v>
      </c>
      <c r="C19" s="2" t="n">
        <v>10</v>
      </c>
      <c r="D19" s="3" t="n">
        <v>-2.94496750269936</v>
      </c>
      <c r="E19" s="3" t="n">
        <v>-0.083474484163103</v>
      </c>
      <c r="F19" s="3" t="n">
        <v>-0.948301915784254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n">
        <f aca="false">ABS(D19-SUMIFS($D$2:$D$205,$A$2:$A$205,$A19,$B$2:$B$205,$B19,$C$2:$C$205,100))</f>
        <v>0.000167122077137094</v>
      </c>
      <c r="U19" s="3" t="n">
        <f aca="false">ABS(E19-SUMIFS($E$2:$E$205,$A$2:$A$205,$A19,$B$2:$B$205,$B19,$C$2:$C$205,100))</f>
        <v>0.000226468175227895</v>
      </c>
      <c r="V19" s="3" t="n">
        <f aca="false">IF(ISBLANK(F19),"",ABS(F19-SUMIFS($F$2:$F$205,$A$2:$A$205,$A19,$B$2:$B$205,$B19,$C$2:$C$205,100)))</f>
        <v>0.0470175727477007</v>
      </c>
      <c r="W19" s="3" t="str">
        <f aca="false">IF(ISBLANK(G19),"",ABS(G19-SUMIFS($G$2:$G$205,$A$2:$A$205,$A19,$B$2:$B$205,$B19,$C$2:$C$205,100)))</f>
        <v/>
      </c>
      <c r="X19" s="3" t="str">
        <f aca="false">IF(ISBLANK(H19),"",ABS(H19-SUMIFS($H$2:$H$205,$A$2:$A$205,$A19,$B$2:$B$205,$B19,$C$2:$C$205,100)))</f>
        <v/>
      </c>
      <c r="Y19" s="3" t="str">
        <f aca="false">IF(ISBLANK(I19),"",ABS(I19-SUMIFS($I$2:$I$205,$A$2:$A$205,$A19,$B$2:$B$205,$B19,$C$2:$C$205,100)))</f>
        <v/>
      </c>
      <c r="Z19" s="3" t="str">
        <f aca="false">IF(ISBLANK(J19),"",ABS(J19-SUMIFS($J$2:$J$205,$A$2:$A$205,$A19,$B$2:$B$205,$B19,$C$2:$C$205,100)))</f>
        <v/>
      </c>
      <c r="AA19" s="3" t="str">
        <f aca="false">IF(ISBLANK(K19),"",ABS(K19-SUMIFS($K$2:$K$205,$A$2:$A$205,$A19,$B$2:$B$205,$B19,$C$2:$C$205,100)))</f>
        <v/>
      </c>
      <c r="AB19" s="3" t="str">
        <f aca="false">IF(ISBLANK(L19),"",ABS(L19-SUMIFS($L$2:$L$205,$A$2:$A$205,$A19,$B$2:$B$205,$B19,$C$2:$C$205,100)))</f>
        <v/>
      </c>
      <c r="AC19" s="3" t="str">
        <f aca="false">IF(ISBLANK(M19),"",ABS(M19-SUMIFS($M$2:$M$205,$A$2:$A$205,$A19,$B$2:$B$205,$B19,$C$2:$C$205,100)))</f>
        <v/>
      </c>
      <c r="AD19" s="3" t="str">
        <f aca="false">IF(ISBLANK(N19),"",ABS(N19-SUMIFS($N$2:$N$205,$A$2:$A$205,$A19,$B$2:$B$205,$B19,$C$2:$C$205,100)))</f>
        <v/>
      </c>
      <c r="AE19" s="3" t="str">
        <f aca="false">IF(ISBLANK(O19),"",ABS(O19-SUMIFS($O$2:$O$205,$A$2:$A$205,$A19,$B$2:$B$205,$B19,$C$2:$C$205,100)))</f>
        <v/>
      </c>
      <c r="AF19" s="3" t="str">
        <f aca="false">IF(ISBLANK(P19),"",ABS(P19-SUMIFS($P$2:$P$205,$A$2:$A$205,$A19,$B$2:$B$205,$B19,$C$2:$C$205,100)))</f>
        <v/>
      </c>
      <c r="AG19" s="3" t="str">
        <f aca="false">IF(ISBLANK(Q19),"",ABS(Q19-SUMIFS($Q$2:$Q$205,$A$2:$A$205,$A19,$B$2:$B$205,$B19,$C$2:$C$205,100)))</f>
        <v/>
      </c>
      <c r="AH19" s="3" t="str">
        <f aca="false">IF(ISBLANK(R19),"",ABS(R19-SUMIFS($R$2:$R$205,$A$2:$A$205,$A19,$B$2:$B$205,$B19,$C$2:$C$205,100)))</f>
        <v/>
      </c>
      <c r="AI19" s="3" t="str">
        <f aca="false">IF(ISBLANK(S19),"",ABS(S19-SUMIFS($S$2:$S$205,$A$2:$A$205,$A19,$B$2:$B$205,$B19,$C$2:$C$205,100)))</f>
        <v/>
      </c>
      <c r="AJ19" s="3" t="n">
        <f aca="false">MAX(V19:AI19)</f>
        <v>0.0470175727477007</v>
      </c>
    </row>
    <row r="20" customFormat="false" ht="15" hidden="false" customHeight="false" outlineLevel="0" collapsed="false">
      <c r="A20" s="2" t="s">
        <v>36</v>
      </c>
      <c r="B20" s="2" t="s">
        <v>39</v>
      </c>
      <c r="C20" s="2" t="n">
        <v>15</v>
      </c>
      <c r="D20" s="3" t="n">
        <v>-2.94480388818545</v>
      </c>
      <c r="E20" s="3" t="n">
        <v>-0.0832510990288606</v>
      </c>
      <c r="F20" s="3" t="n">
        <v>-0.895422305538517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 t="n">
        <f aca="false">ABS(D20-SUMIFS($D$2:$D$205,$A$2:$A$205,$A20,$B$2:$B$205,$B20,$C$2:$C$205,100))</f>
        <v>3.50756322475831E-006</v>
      </c>
      <c r="U20" s="3" t="n">
        <f aca="false">ABS(E20-SUMIFS($E$2:$E$205,$A$2:$A$205,$A20,$B$2:$B$205,$B20,$C$2:$C$205,100))</f>
        <v>3.0830409855076E-006</v>
      </c>
      <c r="V20" s="3" t="n">
        <f aca="false">IF(ISBLANK(F20),"",ABS(F20-SUMIFS($F$2:$F$205,$A$2:$A$205,$A20,$B$2:$B$205,$B20,$C$2:$C$205,100)))</f>
        <v>0.00586203749803604</v>
      </c>
      <c r="W20" s="3" t="str">
        <f aca="false">IF(ISBLANK(G20),"",ABS(G20-SUMIFS($G$2:$G$205,$A$2:$A$205,$A20,$B$2:$B$205,$B20,$C$2:$C$205,100)))</f>
        <v/>
      </c>
      <c r="X20" s="3" t="str">
        <f aca="false">IF(ISBLANK(H20),"",ABS(H20-SUMIFS($H$2:$H$205,$A$2:$A$205,$A20,$B$2:$B$205,$B20,$C$2:$C$205,100)))</f>
        <v/>
      </c>
      <c r="Y20" s="3" t="str">
        <f aca="false">IF(ISBLANK(I20),"",ABS(I20-SUMIFS($I$2:$I$205,$A$2:$A$205,$A20,$B$2:$B$205,$B20,$C$2:$C$205,100)))</f>
        <v/>
      </c>
      <c r="Z20" s="3" t="str">
        <f aca="false">IF(ISBLANK(J20),"",ABS(J20-SUMIFS($J$2:$J$205,$A$2:$A$205,$A20,$B$2:$B$205,$B20,$C$2:$C$205,100)))</f>
        <v/>
      </c>
      <c r="AA20" s="3" t="str">
        <f aca="false">IF(ISBLANK(K20),"",ABS(K20-SUMIFS($K$2:$K$205,$A$2:$A$205,$A20,$B$2:$B$205,$B20,$C$2:$C$205,100)))</f>
        <v/>
      </c>
      <c r="AB20" s="3" t="str">
        <f aca="false">IF(ISBLANK(L20),"",ABS(L20-SUMIFS($L$2:$L$205,$A$2:$A$205,$A20,$B$2:$B$205,$B20,$C$2:$C$205,100)))</f>
        <v/>
      </c>
      <c r="AC20" s="3" t="str">
        <f aca="false">IF(ISBLANK(M20),"",ABS(M20-SUMIFS($M$2:$M$205,$A$2:$A$205,$A20,$B$2:$B$205,$B20,$C$2:$C$205,100)))</f>
        <v/>
      </c>
      <c r="AD20" s="3" t="str">
        <f aca="false">IF(ISBLANK(N20),"",ABS(N20-SUMIFS($N$2:$N$205,$A$2:$A$205,$A20,$B$2:$B$205,$B20,$C$2:$C$205,100)))</f>
        <v/>
      </c>
      <c r="AE20" s="3" t="str">
        <f aca="false">IF(ISBLANK(O20),"",ABS(O20-SUMIFS($O$2:$O$205,$A$2:$A$205,$A20,$B$2:$B$205,$B20,$C$2:$C$205,100)))</f>
        <v/>
      </c>
      <c r="AF20" s="3" t="str">
        <f aca="false">IF(ISBLANK(P20),"",ABS(P20-SUMIFS($P$2:$P$205,$A$2:$A$205,$A20,$B$2:$B$205,$B20,$C$2:$C$205,100)))</f>
        <v/>
      </c>
      <c r="AG20" s="3" t="str">
        <f aca="false">IF(ISBLANK(Q20),"",ABS(Q20-SUMIFS($Q$2:$Q$205,$A$2:$A$205,$A20,$B$2:$B$205,$B20,$C$2:$C$205,100)))</f>
        <v/>
      </c>
      <c r="AH20" s="3" t="str">
        <f aca="false">IF(ISBLANK(R20),"",ABS(R20-SUMIFS($R$2:$R$205,$A$2:$A$205,$A20,$B$2:$B$205,$B20,$C$2:$C$205,100)))</f>
        <v/>
      </c>
      <c r="AI20" s="3" t="str">
        <f aca="false">IF(ISBLANK(S20),"",ABS(S20-SUMIFS($S$2:$S$205,$A$2:$A$205,$A20,$B$2:$B$205,$B20,$C$2:$C$205,100)))</f>
        <v/>
      </c>
      <c r="AJ20" s="3" t="n">
        <f aca="false">MAX(V20:AI20)</f>
        <v>0.00586203749803604</v>
      </c>
    </row>
    <row r="21" customFormat="false" ht="15" hidden="false" customHeight="false" outlineLevel="0" collapsed="false">
      <c r="A21" s="2" t="s">
        <v>36</v>
      </c>
      <c r="B21" s="2" t="s">
        <v>39</v>
      </c>
      <c r="C21" s="2" t="n">
        <v>20</v>
      </c>
      <c r="D21" s="3" t="n">
        <v>-2.94480032501468</v>
      </c>
      <c r="E21" s="3" t="n">
        <v>-0.0832479811826227</v>
      </c>
      <c r="F21" s="3" t="n">
        <v>-0.900461905802778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 t="n">
        <f aca="false">ABS(D21-SUMIFS($D$2:$D$205,$A$2:$A$205,$A21,$B$2:$B$205,$B21,$C$2:$C$205,100))</f>
        <v>5.56075470115047E-008</v>
      </c>
      <c r="U21" s="3" t="n">
        <f aca="false">ABS(E21-SUMIFS($E$2:$E$205,$A$2:$A$205,$A21,$B$2:$B$205,$B21,$C$2:$C$205,100))</f>
        <v>3.480525236077E-008</v>
      </c>
      <c r="V21" s="3" t="n">
        <f aca="false">IF(ISBLANK(F21),"",ABS(F21-SUMIFS($F$2:$F$205,$A$2:$A$205,$A21,$B$2:$B$205,$B21,$C$2:$C$205,100)))</f>
        <v>0.000822437233775397</v>
      </c>
      <c r="W21" s="3" t="str">
        <f aca="false">IF(ISBLANK(G21),"",ABS(G21-SUMIFS($G$2:$G$205,$A$2:$A$205,$A21,$B$2:$B$205,$B21,$C$2:$C$205,100)))</f>
        <v/>
      </c>
      <c r="X21" s="3" t="str">
        <f aca="false">IF(ISBLANK(H21),"",ABS(H21-SUMIFS($H$2:$H$205,$A$2:$A$205,$A21,$B$2:$B$205,$B21,$C$2:$C$205,100)))</f>
        <v/>
      </c>
      <c r="Y21" s="3" t="str">
        <f aca="false">IF(ISBLANK(I21),"",ABS(I21-SUMIFS($I$2:$I$205,$A$2:$A$205,$A21,$B$2:$B$205,$B21,$C$2:$C$205,100)))</f>
        <v/>
      </c>
      <c r="Z21" s="3" t="str">
        <f aca="false">IF(ISBLANK(J21),"",ABS(J21-SUMIFS($J$2:$J$205,$A$2:$A$205,$A21,$B$2:$B$205,$B21,$C$2:$C$205,100)))</f>
        <v/>
      </c>
      <c r="AA21" s="3" t="str">
        <f aca="false">IF(ISBLANK(K21),"",ABS(K21-SUMIFS($K$2:$K$205,$A$2:$A$205,$A21,$B$2:$B$205,$B21,$C$2:$C$205,100)))</f>
        <v/>
      </c>
      <c r="AB21" s="3" t="str">
        <f aca="false">IF(ISBLANK(L21),"",ABS(L21-SUMIFS($L$2:$L$205,$A$2:$A$205,$A21,$B$2:$B$205,$B21,$C$2:$C$205,100)))</f>
        <v/>
      </c>
      <c r="AC21" s="3" t="str">
        <f aca="false">IF(ISBLANK(M21),"",ABS(M21-SUMIFS($M$2:$M$205,$A$2:$A$205,$A21,$B$2:$B$205,$B21,$C$2:$C$205,100)))</f>
        <v/>
      </c>
      <c r="AD21" s="3" t="str">
        <f aca="false">IF(ISBLANK(N21),"",ABS(N21-SUMIFS($N$2:$N$205,$A$2:$A$205,$A21,$B$2:$B$205,$B21,$C$2:$C$205,100)))</f>
        <v/>
      </c>
      <c r="AE21" s="3" t="str">
        <f aca="false">IF(ISBLANK(O21),"",ABS(O21-SUMIFS($O$2:$O$205,$A$2:$A$205,$A21,$B$2:$B$205,$B21,$C$2:$C$205,100)))</f>
        <v/>
      </c>
      <c r="AF21" s="3" t="str">
        <f aca="false">IF(ISBLANK(P21),"",ABS(P21-SUMIFS($P$2:$P$205,$A$2:$A$205,$A21,$B$2:$B$205,$B21,$C$2:$C$205,100)))</f>
        <v/>
      </c>
      <c r="AG21" s="3" t="str">
        <f aca="false">IF(ISBLANK(Q21),"",ABS(Q21-SUMIFS($Q$2:$Q$205,$A$2:$A$205,$A21,$B$2:$B$205,$B21,$C$2:$C$205,100)))</f>
        <v/>
      </c>
      <c r="AH21" s="3" t="str">
        <f aca="false">IF(ISBLANK(R21),"",ABS(R21-SUMIFS($R$2:$R$205,$A$2:$A$205,$A21,$B$2:$B$205,$B21,$C$2:$C$205,100)))</f>
        <v/>
      </c>
      <c r="AI21" s="3" t="str">
        <f aca="false">IF(ISBLANK(S21),"",ABS(S21-SUMIFS($S$2:$S$205,$A$2:$A$205,$A21,$B$2:$B$205,$B21,$C$2:$C$205,100)))</f>
        <v/>
      </c>
      <c r="AJ21" s="3" t="n">
        <f aca="false">MAX(V21:AI21)</f>
        <v>0.000822437233775397</v>
      </c>
    </row>
    <row r="22" customFormat="false" ht="15" hidden="false" customHeight="false" outlineLevel="0" collapsed="false">
      <c r="A22" s="2" t="s">
        <v>36</v>
      </c>
      <c r="B22" s="2" t="s">
        <v>39</v>
      </c>
      <c r="C22" s="2" t="n">
        <v>30</v>
      </c>
      <c r="D22" s="3" t="n">
        <v>-2.94480038032794</v>
      </c>
      <c r="E22" s="3" t="n">
        <v>-0.0832480156984307</v>
      </c>
      <c r="F22" s="3" t="n">
        <v>-0.903563342757948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n">
        <f aca="false">ABS(D22-SUMIFS($D$2:$D$205,$A$2:$A$205,$A22,$B$2:$B$205,$B22,$C$2:$C$205,100))</f>
        <v>2.94283264423711E-010</v>
      </c>
      <c r="U22" s="3" t="n">
        <f aca="false">ABS(E22-SUMIFS($E$2:$E$205,$A$2:$A$205,$A22,$B$2:$B$205,$B22,$C$2:$C$205,100))</f>
        <v>2.8944444063761E-010</v>
      </c>
      <c r="V22" s="3" t="n">
        <f aca="false">IF(ISBLANK(F22),"",ABS(F22-SUMIFS($F$2:$F$205,$A$2:$A$205,$A22,$B$2:$B$205,$B22,$C$2:$C$205,100)))</f>
        <v>0.00227899972139511</v>
      </c>
      <c r="W22" s="3" t="str">
        <f aca="false">IF(ISBLANK(G22),"",ABS(G22-SUMIFS($G$2:$G$205,$A$2:$A$205,$A22,$B$2:$B$205,$B22,$C$2:$C$205,100)))</f>
        <v/>
      </c>
      <c r="X22" s="3" t="str">
        <f aca="false">IF(ISBLANK(H22),"",ABS(H22-SUMIFS($H$2:$H$205,$A$2:$A$205,$A22,$B$2:$B$205,$B22,$C$2:$C$205,100)))</f>
        <v/>
      </c>
      <c r="Y22" s="3" t="str">
        <f aca="false">IF(ISBLANK(I22),"",ABS(I22-SUMIFS($I$2:$I$205,$A$2:$A$205,$A22,$B$2:$B$205,$B22,$C$2:$C$205,100)))</f>
        <v/>
      </c>
      <c r="Z22" s="3" t="str">
        <f aca="false">IF(ISBLANK(J22),"",ABS(J22-SUMIFS($J$2:$J$205,$A$2:$A$205,$A22,$B$2:$B$205,$B22,$C$2:$C$205,100)))</f>
        <v/>
      </c>
      <c r="AA22" s="3" t="str">
        <f aca="false">IF(ISBLANK(K22),"",ABS(K22-SUMIFS($K$2:$K$205,$A$2:$A$205,$A22,$B$2:$B$205,$B22,$C$2:$C$205,100)))</f>
        <v/>
      </c>
      <c r="AB22" s="3" t="str">
        <f aca="false">IF(ISBLANK(L22),"",ABS(L22-SUMIFS($L$2:$L$205,$A$2:$A$205,$A22,$B$2:$B$205,$B22,$C$2:$C$205,100)))</f>
        <v/>
      </c>
      <c r="AC22" s="3" t="str">
        <f aca="false">IF(ISBLANK(M22),"",ABS(M22-SUMIFS($M$2:$M$205,$A$2:$A$205,$A22,$B$2:$B$205,$B22,$C$2:$C$205,100)))</f>
        <v/>
      </c>
      <c r="AD22" s="3" t="str">
        <f aca="false">IF(ISBLANK(N22),"",ABS(N22-SUMIFS($N$2:$N$205,$A$2:$A$205,$A22,$B$2:$B$205,$B22,$C$2:$C$205,100)))</f>
        <v/>
      </c>
      <c r="AE22" s="3" t="str">
        <f aca="false">IF(ISBLANK(O22),"",ABS(O22-SUMIFS($O$2:$O$205,$A$2:$A$205,$A22,$B$2:$B$205,$B22,$C$2:$C$205,100)))</f>
        <v/>
      </c>
      <c r="AF22" s="3" t="str">
        <f aca="false">IF(ISBLANK(P22),"",ABS(P22-SUMIFS($P$2:$P$205,$A$2:$A$205,$A22,$B$2:$B$205,$B22,$C$2:$C$205,100)))</f>
        <v/>
      </c>
      <c r="AG22" s="3" t="str">
        <f aca="false">IF(ISBLANK(Q22),"",ABS(Q22-SUMIFS($Q$2:$Q$205,$A$2:$A$205,$A22,$B$2:$B$205,$B22,$C$2:$C$205,100)))</f>
        <v/>
      </c>
      <c r="AH22" s="3" t="str">
        <f aca="false">IF(ISBLANK(R22),"",ABS(R22-SUMIFS($R$2:$R$205,$A$2:$A$205,$A22,$B$2:$B$205,$B22,$C$2:$C$205,100)))</f>
        <v/>
      </c>
      <c r="AI22" s="3" t="str">
        <f aca="false">IF(ISBLANK(S22),"",ABS(S22-SUMIFS($S$2:$S$205,$A$2:$A$205,$A22,$B$2:$B$205,$B22,$C$2:$C$205,100)))</f>
        <v/>
      </c>
      <c r="AJ22" s="3" t="n">
        <f aca="false">MAX(V22:AI22)</f>
        <v>0.00227899972139511</v>
      </c>
    </row>
    <row r="23" customFormat="false" ht="15" hidden="false" customHeight="false" outlineLevel="0" collapsed="false">
      <c r="A23" s="2" t="s">
        <v>36</v>
      </c>
      <c r="B23" s="2" t="s">
        <v>39</v>
      </c>
      <c r="C23" s="2" t="n">
        <v>50</v>
      </c>
      <c r="D23" s="3" t="n">
        <v>-2.94480038062226</v>
      </c>
      <c r="E23" s="3" t="n">
        <v>-0.0832480159878366</v>
      </c>
      <c r="F23" s="3" t="n">
        <v>-0.901284072264337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n">
        <f aca="false">ABS(D23-SUMIFS($D$2:$D$205,$A$2:$A$205,$A23,$B$2:$B$205,$B23,$C$2:$C$205,100))</f>
        <v>3.19744231092045E-014</v>
      </c>
      <c r="U23" s="3" t="n">
        <f aca="false">ABS(E23-SUMIFS($E$2:$E$205,$A$2:$A$205,$A23,$B$2:$B$205,$B23,$C$2:$C$205,100))</f>
        <v>3.85108611666851E-014</v>
      </c>
      <c r="V23" s="3" t="n">
        <f aca="false">IF(ISBLANK(F23),"",ABS(F23-SUMIFS($F$2:$F$205,$A$2:$A$205,$A23,$B$2:$B$205,$B23,$C$2:$C$205,100)))</f>
        <v>2.70772216315329E-007</v>
      </c>
      <c r="W23" s="3" t="str">
        <f aca="false">IF(ISBLANK(G23),"",ABS(G23-SUMIFS($G$2:$G$205,$A$2:$A$205,$A23,$B$2:$B$205,$B23,$C$2:$C$205,100)))</f>
        <v/>
      </c>
      <c r="X23" s="3" t="str">
        <f aca="false">IF(ISBLANK(H23),"",ABS(H23-SUMIFS($H$2:$H$205,$A$2:$A$205,$A23,$B$2:$B$205,$B23,$C$2:$C$205,100)))</f>
        <v/>
      </c>
      <c r="Y23" s="3" t="str">
        <f aca="false">IF(ISBLANK(I23),"",ABS(I23-SUMIFS($I$2:$I$205,$A$2:$A$205,$A23,$B$2:$B$205,$B23,$C$2:$C$205,100)))</f>
        <v/>
      </c>
      <c r="Z23" s="3" t="str">
        <f aca="false">IF(ISBLANK(J23),"",ABS(J23-SUMIFS($J$2:$J$205,$A$2:$A$205,$A23,$B$2:$B$205,$B23,$C$2:$C$205,100)))</f>
        <v/>
      </c>
      <c r="AA23" s="3" t="str">
        <f aca="false">IF(ISBLANK(K23),"",ABS(K23-SUMIFS($K$2:$K$205,$A$2:$A$205,$A23,$B$2:$B$205,$B23,$C$2:$C$205,100)))</f>
        <v/>
      </c>
      <c r="AB23" s="3" t="str">
        <f aca="false">IF(ISBLANK(L23),"",ABS(L23-SUMIFS($L$2:$L$205,$A$2:$A$205,$A23,$B$2:$B$205,$B23,$C$2:$C$205,100)))</f>
        <v/>
      </c>
      <c r="AC23" s="3" t="str">
        <f aca="false">IF(ISBLANK(M23),"",ABS(M23-SUMIFS($M$2:$M$205,$A$2:$A$205,$A23,$B$2:$B$205,$B23,$C$2:$C$205,100)))</f>
        <v/>
      </c>
      <c r="AD23" s="3" t="str">
        <f aca="false">IF(ISBLANK(N23),"",ABS(N23-SUMIFS($N$2:$N$205,$A$2:$A$205,$A23,$B$2:$B$205,$B23,$C$2:$C$205,100)))</f>
        <v/>
      </c>
      <c r="AE23" s="3" t="str">
        <f aca="false">IF(ISBLANK(O23),"",ABS(O23-SUMIFS($O$2:$O$205,$A$2:$A$205,$A23,$B$2:$B$205,$B23,$C$2:$C$205,100)))</f>
        <v/>
      </c>
      <c r="AF23" s="3" t="str">
        <f aca="false">IF(ISBLANK(P23),"",ABS(P23-SUMIFS($P$2:$P$205,$A$2:$A$205,$A23,$B$2:$B$205,$B23,$C$2:$C$205,100)))</f>
        <v/>
      </c>
      <c r="AG23" s="3" t="str">
        <f aca="false">IF(ISBLANK(Q23),"",ABS(Q23-SUMIFS($Q$2:$Q$205,$A$2:$A$205,$A23,$B$2:$B$205,$B23,$C$2:$C$205,100)))</f>
        <v/>
      </c>
      <c r="AH23" s="3" t="str">
        <f aca="false">IF(ISBLANK(R23),"",ABS(R23-SUMIFS($R$2:$R$205,$A$2:$A$205,$A23,$B$2:$B$205,$B23,$C$2:$C$205,100)))</f>
        <v/>
      </c>
      <c r="AI23" s="3" t="str">
        <f aca="false">IF(ISBLANK(S23),"",ABS(S23-SUMIFS($S$2:$S$205,$A$2:$A$205,$A23,$B$2:$B$205,$B23,$C$2:$C$205,100)))</f>
        <v/>
      </c>
      <c r="AJ23" s="3" t="n">
        <f aca="false">MAX(V23:AI23)</f>
        <v>2.70772216315329E-007</v>
      </c>
    </row>
    <row r="24" customFormat="false" ht="15" hidden="false" customHeight="false" outlineLevel="0" collapsed="false">
      <c r="A24" s="2" t="s">
        <v>36</v>
      </c>
      <c r="B24" s="2" t="s">
        <v>39</v>
      </c>
      <c r="C24" s="2" t="n">
        <v>80</v>
      </c>
      <c r="D24" s="3" t="n">
        <v>-2.94480038062225</v>
      </c>
      <c r="E24" s="3" t="n">
        <v>-0.0832480159878386</v>
      </c>
      <c r="F24" s="3" t="n">
        <v>-0.901284343014524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 t="n">
        <f aca="false">ABS(D24-SUMIFS($D$2:$D$205,$A$2:$A$205,$A24,$B$2:$B$205,$B24,$C$2:$C$205,100))</f>
        <v>2.17603712826531E-014</v>
      </c>
      <c r="U24" s="3" t="n">
        <f aca="false">ABS(E24-SUMIFS($E$2:$E$205,$A$2:$A$205,$A24,$B$2:$B$205,$B24,$C$2:$C$205,100))</f>
        <v>3.6498581934552E-014</v>
      </c>
      <c r="V24" s="3" t="n">
        <f aca="false">IF(ISBLANK(F24),"",ABS(F24-SUMIFS($F$2:$F$205,$A$2:$A$205,$A24,$B$2:$B$205,$B24,$C$2:$C$205,100)))</f>
        <v>2.20292672992173E-011</v>
      </c>
      <c r="W24" s="3" t="str">
        <f aca="false">IF(ISBLANK(G24),"",ABS(G24-SUMIFS($G$2:$G$205,$A$2:$A$205,$A24,$B$2:$B$205,$B24,$C$2:$C$205,100)))</f>
        <v/>
      </c>
      <c r="X24" s="3" t="str">
        <f aca="false">IF(ISBLANK(H24),"",ABS(H24-SUMIFS($H$2:$H$205,$A$2:$A$205,$A24,$B$2:$B$205,$B24,$C$2:$C$205,100)))</f>
        <v/>
      </c>
      <c r="Y24" s="3" t="str">
        <f aca="false">IF(ISBLANK(I24),"",ABS(I24-SUMIFS($I$2:$I$205,$A$2:$A$205,$A24,$B$2:$B$205,$B24,$C$2:$C$205,100)))</f>
        <v/>
      </c>
      <c r="Z24" s="3" t="str">
        <f aca="false">IF(ISBLANK(J24),"",ABS(J24-SUMIFS($J$2:$J$205,$A$2:$A$205,$A24,$B$2:$B$205,$B24,$C$2:$C$205,100)))</f>
        <v/>
      </c>
      <c r="AA24" s="3" t="str">
        <f aca="false">IF(ISBLANK(K24),"",ABS(K24-SUMIFS($K$2:$K$205,$A$2:$A$205,$A24,$B$2:$B$205,$B24,$C$2:$C$205,100)))</f>
        <v/>
      </c>
      <c r="AB24" s="3" t="str">
        <f aca="false">IF(ISBLANK(L24),"",ABS(L24-SUMIFS($L$2:$L$205,$A$2:$A$205,$A24,$B$2:$B$205,$B24,$C$2:$C$205,100)))</f>
        <v/>
      </c>
      <c r="AC24" s="3" t="str">
        <f aca="false">IF(ISBLANK(M24),"",ABS(M24-SUMIFS($M$2:$M$205,$A$2:$A$205,$A24,$B$2:$B$205,$B24,$C$2:$C$205,100)))</f>
        <v/>
      </c>
      <c r="AD24" s="3" t="str">
        <f aca="false">IF(ISBLANK(N24),"",ABS(N24-SUMIFS($N$2:$N$205,$A$2:$A$205,$A24,$B$2:$B$205,$B24,$C$2:$C$205,100)))</f>
        <v/>
      </c>
      <c r="AE24" s="3" t="str">
        <f aca="false">IF(ISBLANK(O24),"",ABS(O24-SUMIFS($O$2:$O$205,$A$2:$A$205,$A24,$B$2:$B$205,$B24,$C$2:$C$205,100)))</f>
        <v/>
      </c>
      <c r="AF24" s="3" t="str">
        <f aca="false">IF(ISBLANK(P24),"",ABS(P24-SUMIFS($P$2:$P$205,$A$2:$A$205,$A24,$B$2:$B$205,$B24,$C$2:$C$205,100)))</f>
        <v/>
      </c>
      <c r="AG24" s="3" t="str">
        <f aca="false">IF(ISBLANK(Q24),"",ABS(Q24-SUMIFS($Q$2:$Q$205,$A$2:$A$205,$A24,$B$2:$B$205,$B24,$C$2:$C$205,100)))</f>
        <v/>
      </c>
      <c r="AH24" s="3" t="str">
        <f aca="false">IF(ISBLANK(R24),"",ABS(R24-SUMIFS($R$2:$R$205,$A$2:$A$205,$A24,$B$2:$B$205,$B24,$C$2:$C$205,100)))</f>
        <v/>
      </c>
      <c r="AI24" s="3" t="str">
        <f aca="false">IF(ISBLANK(S24),"",ABS(S24-SUMIFS($S$2:$S$205,$A$2:$A$205,$A24,$B$2:$B$205,$B24,$C$2:$C$205,100)))</f>
        <v/>
      </c>
      <c r="AJ24" s="3" t="n">
        <f aca="false">MAX(V24:AI24)</f>
        <v>2.20292672992173E-011</v>
      </c>
    </row>
    <row r="25" customFormat="false" ht="15" hidden="false" customHeight="false" outlineLevel="0" collapsed="false">
      <c r="A25" s="4" t="s">
        <v>36</v>
      </c>
      <c r="B25" s="4" t="s">
        <v>39</v>
      </c>
      <c r="C25" s="4" t="n">
        <v>100</v>
      </c>
      <c r="D25" s="5" t="n">
        <v>-2.94480038062223</v>
      </c>
      <c r="E25" s="5" t="n">
        <v>-0.0832480159878751</v>
      </c>
      <c r="F25" s="3" t="n">
        <v>-0.901284343036553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n">
        <f aca="false">ABS(D25-SUMIFS($D$2:$D$205,$A$2:$A$205,$A25,$B$2:$B$205,$B25,$C$2:$C$205,100))</f>
        <v>0</v>
      </c>
      <c r="U25" s="3" t="n">
        <f aca="false">ABS(E25-SUMIFS($E$2:$E$205,$A$2:$A$205,$A25,$B$2:$B$205,$B25,$C$2:$C$205,100))</f>
        <v>0</v>
      </c>
      <c r="V25" s="3" t="n">
        <f aca="false">IF(ISBLANK(F25),"",ABS(F25-SUMIFS($F$2:$F$205,$A$2:$A$205,$A25,$B$2:$B$205,$B25,$C$2:$C$205,100)))</f>
        <v>0</v>
      </c>
      <c r="W25" s="3" t="str">
        <f aca="false">IF(ISBLANK(G25),"",ABS(G25-SUMIFS($G$2:$G$205,$A$2:$A$205,$A25,$B$2:$B$205,$B25,$C$2:$C$205,100)))</f>
        <v/>
      </c>
      <c r="X25" s="3" t="str">
        <f aca="false">IF(ISBLANK(H25),"",ABS(H25-SUMIFS($H$2:$H$205,$A$2:$A$205,$A25,$B$2:$B$205,$B25,$C$2:$C$205,100)))</f>
        <v/>
      </c>
      <c r="Y25" s="3" t="str">
        <f aca="false">IF(ISBLANK(I25),"",ABS(I25-SUMIFS($I$2:$I$205,$A$2:$A$205,$A25,$B$2:$B$205,$B25,$C$2:$C$205,100)))</f>
        <v/>
      </c>
      <c r="Z25" s="3" t="str">
        <f aca="false">IF(ISBLANK(J25),"",ABS(J25-SUMIFS($J$2:$J$205,$A$2:$A$205,$A25,$B$2:$B$205,$B25,$C$2:$C$205,100)))</f>
        <v/>
      </c>
      <c r="AA25" s="3" t="str">
        <f aca="false">IF(ISBLANK(K25),"",ABS(K25-SUMIFS($K$2:$K$205,$A$2:$A$205,$A25,$B$2:$B$205,$B25,$C$2:$C$205,100)))</f>
        <v/>
      </c>
      <c r="AB25" s="3" t="str">
        <f aca="false">IF(ISBLANK(L25),"",ABS(L25-SUMIFS($L$2:$L$205,$A$2:$A$205,$A25,$B$2:$B$205,$B25,$C$2:$C$205,100)))</f>
        <v/>
      </c>
      <c r="AC25" s="3" t="str">
        <f aca="false">IF(ISBLANK(M25),"",ABS(M25-SUMIFS($M$2:$M$205,$A$2:$A$205,$A25,$B$2:$B$205,$B25,$C$2:$C$205,100)))</f>
        <v/>
      </c>
      <c r="AD25" s="3" t="str">
        <f aca="false">IF(ISBLANK(N25),"",ABS(N25-SUMIFS($N$2:$N$205,$A$2:$A$205,$A25,$B$2:$B$205,$B25,$C$2:$C$205,100)))</f>
        <v/>
      </c>
      <c r="AE25" s="3" t="str">
        <f aca="false">IF(ISBLANK(O25),"",ABS(O25-SUMIFS($O$2:$O$205,$A$2:$A$205,$A25,$B$2:$B$205,$B25,$C$2:$C$205,100)))</f>
        <v/>
      </c>
      <c r="AF25" s="3" t="str">
        <f aca="false">IF(ISBLANK(P25),"",ABS(P25-SUMIFS($P$2:$P$205,$A$2:$A$205,$A25,$B$2:$B$205,$B25,$C$2:$C$205,100)))</f>
        <v/>
      </c>
      <c r="AG25" s="3" t="str">
        <f aca="false">IF(ISBLANK(Q25),"",ABS(Q25-SUMIFS($Q$2:$Q$205,$A$2:$A$205,$A25,$B$2:$B$205,$B25,$C$2:$C$205,100)))</f>
        <v/>
      </c>
      <c r="AH25" s="3" t="str">
        <f aca="false">IF(ISBLANK(R25),"",ABS(R25-SUMIFS($R$2:$R$205,$A$2:$A$205,$A25,$B$2:$B$205,$B25,$C$2:$C$205,100)))</f>
        <v/>
      </c>
      <c r="AI25" s="3" t="str">
        <f aca="false">IF(ISBLANK(S25),"",ABS(S25-SUMIFS($S$2:$S$205,$A$2:$A$205,$A25,$B$2:$B$205,$B25,$C$2:$C$205,100)))</f>
        <v/>
      </c>
      <c r="AJ25" s="3" t="n">
        <f aca="false">MAX(V25:AI25)</f>
        <v>0</v>
      </c>
    </row>
    <row r="26" customFormat="false" ht="15" hidden="false" customHeight="false" outlineLevel="0" collapsed="false">
      <c r="A26" s="2" t="s">
        <v>36</v>
      </c>
      <c r="B26" s="2" t="s">
        <v>40</v>
      </c>
      <c r="C26" s="2" t="n">
        <v>5</v>
      </c>
      <c r="D26" s="3" t="n">
        <v>-2.94523426846122</v>
      </c>
      <c r="E26" s="3" t="n">
        <v>-0.0838669293671045</v>
      </c>
      <c r="F26" s="3" t="n">
        <v>-1.00165269950915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n">
        <f aca="false">ABS(D26-SUMIFS($D$2:$D$205,$A$2:$A$205,$A26,$B$2:$B$205,$B26,$C$2:$C$205,100))</f>
        <v>0.000433887838963809</v>
      </c>
      <c r="U26" s="3" t="n">
        <f aca="false">ABS(E26-SUMIFS($E$2:$E$205,$A$2:$A$205,$A26,$B$2:$B$205,$B26,$C$2:$C$205,100))</f>
        <v>0.000618913379234101</v>
      </c>
      <c r="V26" s="3" t="n">
        <f aca="false">IF(ISBLANK(F26),"",ABS(F26-SUMIFS($F$2:$F$205,$A$2:$A$205,$A26,$B$2:$B$205,$B26,$C$2:$C$205,100)))</f>
        <v>0.100368353463912</v>
      </c>
      <c r="W26" s="3" t="str">
        <f aca="false">IF(ISBLANK(G26),"",ABS(G26-SUMIFS($G$2:$G$205,$A$2:$A$205,$A26,$B$2:$B$205,$B26,$C$2:$C$205,100)))</f>
        <v/>
      </c>
      <c r="X26" s="3" t="str">
        <f aca="false">IF(ISBLANK(H26),"",ABS(H26-SUMIFS($H$2:$H$205,$A$2:$A$205,$A26,$B$2:$B$205,$B26,$C$2:$C$205,100)))</f>
        <v/>
      </c>
      <c r="Y26" s="3" t="str">
        <f aca="false">IF(ISBLANK(I26),"",ABS(I26-SUMIFS($I$2:$I$205,$A$2:$A$205,$A26,$B$2:$B$205,$B26,$C$2:$C$205,100)))</f>
        <v/>
      </c>
      <c r="Z26" s="3" t="str">
        <f aca="false">IF(ISBLANK(J26),"",ABS(J26-SUMIFS($J$2:$J$205,$A$2:$A$205,$A26,$B$2:$B$205,$B26,$C$2:$C$205,100)))</f>
        <v/>
      </c>
      <c r="AA26" s="3" t="str">
        <f aca="false">IF(ISBLANK(K26),"",ABS(K26-SUMIFS($K$2:$K$205,$A$2:$A$205,$A26,$B$2:$B$205,$B26,$C$2:$C$205,100)))</f>
        <v/>
      </c>
      <c r="AB26" s="3" t="str">
        <f aca="false">IF(ISBLANK(L26),"",ABS(L26-SUMIFS($L$2:$L$205,$A$2:$A$205,$A26,$B$2:$B$205,$B26,$C$2:$C$205,100)))</f>
        <v/>
      </c>
      <c r="AC26" s="3" t="str">
        <f aca="false">IF(ISBLANK(M26),"",ABS(M26-SUMIFS($M$2:$M$205,$A$2:$A$205,$A26,$B$2:$B$205,$B26,$C$2:$C$205,100)))</f>
        <v/>
      </c>
      <c r="AD26" s="3" t="str">
        <f aca="false">IF(ISBLANK(N26),"",ABS(N26-SUMIFS($N$2:$N$205,$A$2:$A$205,$A26,$B$2:$B$205,$B26,$C$2:$C$205,100)))</f>
        <v/>
      </c>
      <c r="AE26" s="3" t="str">
        <f aca="false">IF(ISBLANK(O26),"",ABS(O26-SUMIFS($O$2:$O$205,$A$2:$A$205,$A26,$B$2:$B$205,$B26,$C$2:$C$205,100)))</f>
        <v/>
      </c>
      <c r="AF26" s="3" t="str">
        <f aca="false">IF(ISBLANK(P26),"",ABS(P26-SUMIFS($P$2:$P$205,$A$2:$A$205,$A26,$B$2:$B$205,$B26,$C$2:$C$205,100)))</f>
        <v/>
      </c>
      <c r="AG26" s="3" t="str">
        <f aca="false">IF(ISBLANK(Q26),"",ABS(Q26-SUMIFS($Q$2:$Q$205,$A$2:$A$205,$A26,$B$2:$B$205,$B26,$C$2:$C$205,100)))</f>
        <v/>
      </c>
      <c r="AH26" s="3" t="str">
        <f aca="false">IF(ISBLANK(R26),"",ABS(R26-SUMIFS($R$2:$R$205,$A$2:$A$205,$A26,$B$2:$B$205,$B26,$C$2:$C$205,100)))</f>
        <v/>
      </c>
      <c r="AI26" s="3" t="str">
        <f aca="false">IF(ISBLANK(S26),"",ABS(S26-SUMIFS($S$2:$S$205,$A$2:$A$205,$A26,$B$2:$B$205,$B26,$C$2:$C$205,100)))</f>
        <v/>
      </c>
      <c r="AJ26" s="3" t="n">
        <f aca="false">MAX(V26:AI26)</f>
        <v>0.100368353463912</v>
      </c>
    </row>
    <row r="27" customFormat="false" ht="15" hidden="false" customHeight="false" outlineLevel="0" collapsed="false">
      <c r="A27" s="2" t="s">
        <v>36</v>
      </c>
      <c r="B27" s="2" t="s">
        <v>40</v>
      </c>
      <c r="C27" s="2" t="n">
        <v>10</v>
      </c>
      <c r="D27" s="3" t="n">
        <v>-2.94472317263619</v>
      </c>
      <c r="E27" s="3" t="n">
        <v>-0.0831663533457855</v>
      </c>
      <c r="F27" s="3" t="n">
        <v>-0.905097937267616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n">
        <f aca="false">ABS(D27-SUMIFS($D$2:$D$205,$A$2:$A$205,$A27,$B$2:$B$205,$B27,$C$2:$C$205,100))</f>
        <v>7.72079860720254E-005</v>
      </c>
      <c r="U27" s="3" t="n">
        <f aca="false">ABS(E27-SUMIFS($E$2:$E$205,$A$2:$A$205,$A27,$B$2:$B$205,$B27,$C$2:$C$205,100))</f>
        <v>8.16626420848815E-005</v>
      </c>
      <c r="V27" s="3" t="n">
        <f aca="false">IF(ISBLANK(F27),"",ABS(F27-SUMIFS($F$2:$F$205,$A$2:$A$205,$A27,$B$2:$B$205,$B27,$C$2:$C$205,100)))</f>
        <v>0.00381359122237601</v>
      </c>
      <c r="W27" s="3" t="str">
        <f aca="false">IF(ISBLANK(G27),"",ABS(G27-SUMIFS($G$2:$G$205,$A$2:$A$205,$A27,$B$2:$B$205,$B27,$C$2:$C$205,100)))</f>
        <v/>
      </c>
      <c r="X27" s="3" t="str">
        <f aca="false">IF(ISBLANK(H27),"",ABS(H27-SUMIFS($H$2:$H$205,$A$2:$A$205,$A27,$B$2:$B$205,$B27,$C$2:$C$205,100)))</f>
        <v/>
      </c>
      <c r="Y27" s="3" t="str">
        <f aca="false">IF(ISBLANK(I27),"",ABS(I27-SUMIFS($I$2:$I$205,$A$2:$A$205,$A27,$B$2:$B$205,$B27,$C$2:$C$205,100)))</f>
        <v/>
      </c>
      <c r="Z27" s="3" t="str">
        <f aca="false">IF(ISBLANK(J27),"",ABS(J27-SUMIFS($J$2:$J$205,$A$2:$A$205,$A27,$B$2:$B$205,$B27,$C$2:$C$205,100)))</f>
        <v/>
      </c>
      <c r="AA27" s="3" t="str">
        <f aca="false">IF(ISBLANK(K27),"",ABS(K27-SUMIFS($K$2:$K$205,$A$2:$A$205,$A27,$B$2:$B$205,$B27,$C$2:$C$205,100)))</f>
        <v/>
      </c>
      <c r="AB27" s="3" t="str">
        <f aca="false">IF(ISBLANK(L27),"",ABS(L27-SUMIFS($L$2:$L$205,$A$2:$A$205,$A27,$B$2:$B$205,$B27,$C$2:$C$205,100)))</f>
        <v/>
      </c>
      <c r="AC27" s="3" t="str">
        <f aca="false">IF(ISBLANK(M27),"",ABS(M27-SUMIFS($M$2:$M$205,$A$2:$A$205,$A27,$B$2:$B$205,$B27,$C$2:$C$205,100)))</f>
        <v/>
      </c>
      <c r="AD27" s="3" t="str">
        <f aca="false">IF(ISBLANK(N27),"",ABS(N27-SUMIFS($N$2:$N$205,$A$2:$A$205,$A27,$B$2:$B$205,$B27,$C$2:$C$205,100)))</f>
        <v/>
      </c>
      <c r="AE27" s="3" t="str">
        <f aca="false">IF(ISBLANK(O27),"",ABS(O27-SUMIFS($O$2:$O$205,$A$2:$A$205,$A27,$B$2:$B$205,$B27,$C$2:$C$205,100)))</f>
        <v/>
      </c>
      <c r="AF27" s="3" t="str">
        <f aca="false">IF(ISBLANK(P27),"",ABS(P27-SUMIFS($P$2:$P$205,$A$2:$A$205,$A27,$B$2:$B$205,$B27,$C$2:$C$205,100)))</f>
        <v/>
      </c>
      <c r="AG27" s="3" t="str">
        <f aca="false">IF(ISBLANK(Q27),"",ABS(Q27-SUMIFS($Q$2:$Q$205,$A$2:$A$205,$A27,$B$2:$B$205,$B27,$C$2:$C$205,100)))</f>
        <v/>
      </c>
      <c r="AH27" s="3" t="str">
        <f aca="false">IF(ISBLANK(R27),"",ABS(R27-SUMIFS($R$2:$R$205,$A$2:$A$205,$A27,$B$2:$B$205,$B27,$C$2:$C$205,100)))</f>
        <v/>
      </c>
      <c r="AI27" s="3" t="str">
        <f aca="false">IF(ISBLANK(S27),"",ABS(S27-SUMIFS($S$2:$S$205,$A$2:$A$205,$A27,$B$2:$B$205,$B27,$C$2:$C$205,100)))</f>
        <v/>
      </c>
      <c r="AJ27" s="3" t="n">
        <f aca="false">MAX(V27:AI27)</f>
        <v>0.00381359122237601</v>
      </c>
    </row>
    <row r="28" customFormat="false" ht="15" hidden="false" customHeight="false" outlineLevel="0" collapsed="false">
      <c r="A28" s="2" t="s">
        <v>36</v>
      </c>
      <c r="B28" s="2" t="s">
        <v>40</v>
      </c>
      <c r="C28" s="2" t="n">
        <v>15</v>
      </c>
      <c r="D28" s="3" t="n">
        <v>-2.94480012354988</v>
      </c>
      <c r="E28" s="3" t="n">
        <v>-0.083248082980426</v>
      </c>
      <c r="F28" s="3" t="n">
        <v>-0.871179364481969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n">
        <f aca="false">ABS(D28-SUMIFS($D$2:$D$205,$A$2:$A$205,$A28,$B$2:$B$205,$B28,$C$2:$C$205,100))</f>
        <v>2.57072382048307E-007</v>
      </c>
      <c r="U28" s="3" t="n">
        <f aca="false">ABS(E28-SUMIFS($E$2:$E$205,$A$2:$A$205,$A28,$B$2:$B$205,$B28,$C$2:$C$205,100))</f>
        <v>6.69925556001649E-008</v>
      </c>
      <c r="V28" s="3" t="n">
        <f aca="false">IF(ISBLANK(F28),"",ABS(F28-SUMIFS($F$2:$F$205,$A$2:$A$205,$A28,$B$2:$B$205,$B28,$C$2:$C$205,100)))</f>
        <v>0.030104981563271</v>
      </c>
      <c r="W28" s="3" t="str">
        <f aca="false">IF(ISBLANK(G28),"",ABS(G28-SUMIFS($G$2:$G$205,$A$2:$A$205,$A28,$B$2:$B$205,$B28,$C$2:$C$205,100)))</f>
        <v/>
      </c>
      <c r="X28" s="3" t="str">
        <f aca="false">IF(ISBLANK(H28),"",ABS(H28-SUMIFS($H$2:$H$205,$A$2:$A$205,$A28,$B$2:$B$205,$B28,$C$2:$C$205,100)))</f>
        <v/>
      </c>
      <c r="Y28" s="3" t="str">
        <f aca="false">IF(ISBLANK(I28),"",ABS(I28-SUMIFS($I$2:$I$205,$A$2:$A$205,$A28,$B$2:$B$205,$B28,$C$2:$C$205,100)))</f>
        <v/>
      </c>
      <c r="Z28" s="3" t="str">
        <f aca="false">IF(ISBLANK(J28),"",ABS(J28-SUMIFS($J$2:$J$205,$A$2:$A$205,$A28,$B$2:$B$205,$B28,$C$2:$C$205,100)))</f>
        <v/>
      </c>
      <c r="AA28" s="3" t="str">
        <f aca="false">IF(ISBLANK(K28),"",ABS(K28-SUMIFS($K$2:$K$205,$A$2:$A$205,$A28,$B$2:$B$205,$B28,$C$2:$C$205,100)))</f>
        <v/>
      </c>
      <c r="AB28" s="3" t="str">
        <f aca="false">IF(ISBLANK(L28),"",ABS(L28-SUMIFS($L$2:$L$205,$A$2:$A$205,$A28,$B$2:$B$205,$B28,$C$2:$C$205,100)))</f>
        <v/>
      </c>
      <c r="AC28" s="3" t="str">
        <f aca="false">IF(ISBLANK(M28),"",ABS(M28-SUMIFS($M$2:$M$205,$A$2:$A$205,$A28,$B$2:$B$205,$B28,$C$2:$C$205,100)))</f>
        <v/>
      </c>
      <c r="AD28" s="3" t="str">
        <f aca="false">IF(ISBLANK(N28),"",ABS(N28-SUMIFS($N$2:$N$205,$A$2:$A$205,$A28,$B$2:$B$205,$B28,$C$2:$C$205,100)))</f>
        <v/>
      </c>
      <c r="AE28" s="3" t="str">
        <f aca="false">IF(ISBLANK(O28),"",ABS(O28-SUMIFS($O$2:$O$205,$A$2:$A$205,$A28,$B$2:$B$205,$B28,$C$2:$C$205,100)))</f>
        <v/>
      </c>
      <c r="AF28" s="3" t="str">
        <f aca="false">IF(ISBLANK(P28),"",ABS(P28-SUMIFS($P$2:$P$205,$A$2:$A$205,$A28,$B$2:$B$205,$B28,$C$2:$C$205,100)))</f>
        <v/>
      </c>
      <c r="AG28" s="3" t="str">
        <f aca="false">IF(ISBLANK(Q28),"",ABS(Q28-SUMIFS($Q$2:$Q$205,$A$2:$A$205,$A28,$B$2:$B$205,$B28,$C$2:$C$205,100)))</f>
        <v/>
      </c>
      <c r="AH28" s="3" t="str">
        <f aca="false">IF(ISBLANK(R28),"",ABS(R28-SUMIFS($R$2:$R$205,$A$2:$A$205,$A28,$B$2:$B$205,$B28,$C$2:$C$205,100)))</f>
        <v/>
      </c>
      <c r="AI28" s="3" t="str">
        <f aca="false">IF(ISBLANK(S28),"",ABS(S28-SUMIFS($S$2:$S$205,$A$2:$A$205,$A28,$B$2:$B$205,$B28,$C$2:$C$205,100)))</f>
        <v/>
      </c>
      <c r="AJ28" s="3" t="n">
        <f aca="false">MAX(V28:AI28)</f>
        <v>0.030104981563271</v>
      </c>
    </row>
    <row r="29" customFormat="false" ht="15" hidden="false" customHeight="false" outlineLevel="0" collapsed="false">
      <c r="A29" s="2" t="s">
        <v>36</v>
      </c>
      <c r="B29" s="2" t="s">
        <v>40</v>
      </c>
      <c r="C29" s="2" t="n">
        <v>20</v>
      </c>
      <c r="D29" s="3" t="n">
        <v>-2.94480037799935</v>
      </c>
      <c r="E29" s="3" t="n">
        <v>-0.0832480077366457</v>
      </c>
      <c r="F29" s="3" t="n">
        <v>-0.910690839008974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n">
        <f aca="false">ABS(D29-SUMIFS($D$2:$D$205,$A$2:$A$205,$A29,$B$2:$B$205,$B29,$C$2:$C$205,100))</f>
        <v>2.62290411612298E-009</v>
      </c>
      <c r="U29" s="3" t="n">
        <f aca="false">ABS(E29-SUMIFS($E$2:$E$205,$A$2:$A$205,$A29,$B$2:$B$205,$B29,$C$2:$C$205,100))</f>
        <v>8.2512247173705E-009</v>
      </c>
      <c r="V29" s="3" t="n">
        <f aca="false">IF(ISBLANK(F29),"",ABS(F29-SUMIFS($F$2:$F$205,$A$2:$A$205,$A29,$B$2:$B$205,$B29,$C$2:$C$205,100)))</f>
        <v>0.00940649296373453</v>
      </c>
      <c r="W29" s="3" t="str">
        <f aca="false">IF(ISBLANK(G29),"",ABS(G29-SUMIFS($G$2:$G$205,$A$2:$A$205,$A29,$B$2:$B$205,$B29,$C$2:$C$205,100)))</f>
        <v/>
      </c>
      <c r="X29" s="3" t="str">
        <f aca="false">IF(ISBLANK(H29),"",ABS(H29-SUMIFS($H$2:$H$205,$A$2:$A$205,$A29,$B$2:$B$205,$B29,$C$2:$C$205,100)))</f>
        <v/>
      </c>
      <c r="Y29" s="3" t="str">
        <f aca="false">IF(ISBLANK(I29),"",ABS(I29-SUMIFS($I$2:$I$205,$A$2:$A$205,$A29,$B$2:$B$205,$B29,$C$2:$C$205,100)))</f>
        <v/>
      </c>
      <c r="Z29" s="3" t="str">
        <f aca="false">IF(ISBLANK(J29),"",ABS(J29-SUMIFS($J$2:$J$205,$A$2:$A$205,$A29,$B$2:$B$205,$B29,$C$2:$C$205,100)))</f>
        <v/>
      </c>
      <c r="AA29" s="3" t="str">
        <f aca="false">IF(ISBLANK(K29),"",ABS(K29-SUMIFS($K$2:$K$205,$A$2:$A$205,$A29,$B$2:$B$205,$B29,$C$2:$C$205,100)))</f>
        <v/>
      </c>
      <c r="AB29" s="3" t="str">
        <f aca="false">IF(ISBLANK(L29),"",ABS(L29-SUMIFS($L$2:$L$205,$A$2:$A$205,$A29,$B$2:$B$205,$B29,$C$2:$C$205,100)))</f>
        <v/>
      </c>
      <c r="AC29" s="3" t="str">
        <f aca="false">IF(ISBLANK(M29),"",ABS(M29-SUMIFS($M$2:$M$205,$A$2:$A$205,$A29,$B$2:$B$205,$B29,$C$2:$C$205,100)))</f>
        <v/>
      </c>
      <c r="AD29" s="3" t="str">
        <f aca="false">IF(ISBLANK(N29),"",ABS(N29-SUMIFS($N$2:$N$205,$A$2:$A$205,$A29,$B$2:$B$205,$B29,$C$2:$C$205,100)))</f>
        <v/>
      </c>
      <c r="AE29" s="3" t="str">
        <f aca="false">IF(ISBLANK(O29),"",ABS(O29-SUMIFS($O$2:$O$205,$A$2:$A$205,$A29,$B$2:$B$205,$B29,$C$2:$C$205,100)))</f>
        <v/>
      </c>
      <c r="AF29" s="3" t="str">
        <f aca="false">IF(ISBLANK(P29),"",ABS(P29-SUMIFS($P$2:$P$205,$A$2:$A$205,$A29,$B$2:$B$205,$B29,$C$2:$C$205,100)))</f>
        <v/>
      </c>
      <c r="AG29" s="3" t="str">
        <f aca="false">IF(ISBLANK(Q29),"",ABS(Q29-SUMIFS($Q$2:$Q$205,$A$2:$A$205,$A29,$B$2:$B$205,$B29,$C$2:$C$205,100)))</f>
        <v/>
      </c>
      <c r="AH29" s="3" t="str">
        <f aca="false">IF(ISBLANK(R29),"",ABS(R29-SUMIFS($R$2:$R$205,$A$2:$A$205,$A29,$B$2:$B$205,$B29,$C$2:$C$205,100)))</f>
        <v/>
      </c>
      <c r="AI29" s="3" t="str">
        <f aca="false">IF(ISBLANK(S29),"",ABS(S29-SUMIFS($S$2:$S$205,$A$2:$A$205,$A29,$B$2:$B$205,$B29,$C$2:$C$205,100)))</f>
        <v/>
      </c>
      <c r="AJ29" s="3" t="n">
        <f aca="false">MAX(V29:AI29)</f>
        <v>0.00940649296373453</v>
      </c>
    </row>
    <row r="30" customFormat="false" ht="15" hidden="false" customHeight="false" outlineLevel="0" collapsed="false">
      <c r="A30" s="2" t="s">
        <v>36</v>
      </c>
      <c r="B30" s="2" t="s">
        <v>40</v>
      </c>
      <c r="C30" s="2" t="n">
        <v>30</v>
      </c>
      <c r="D30" s="3" t="n">
        <v>-2.94480038062808</v>
      </c>
      <c r="E30" s="3" t="n">
        <v>-0.0832480159993582</v>
      </c>
      <c r="F30" s="3" t="n">
        <v>-0.899887048006067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n">
        <f aca="false">ABS(D30-SUMIFS($D$2:$D$205,$A$2:$A$205,$A30,$B$2:$B$205,$B30,$C$2:$C$205,100))</f>
        <v>5.82600634402297E-012</v>
      </c>
      <c r="U30" s="3" t="n">
        <f aca="false">ABS(E30-SUMIFS($E$2:$E$205,$A$2:$A$205,$A30,$B$2:$B$205,$B30,$C$2:$C$205,100))</f>
        <v>1.14877690693405E-011</v>
      </c>
      <c r="V30" s="3" t="n">
        <f aca="false">IF(ISBLANK(F30),"",ABS(F30-SUMIFS($F$2:$F$205,$A$2:$A$205,$A30,$B$2:$B$205,$B30,$C$2:$C$205,100)))</f>
        <v>0.00139729803917243</v>
      </c>
      <c r="W30" s="3" t="str">
        <f aca="false">IF(ISBLANK(G30),"",ABS(G30-SUMIFS($G$2:$G$205,$A$2:$A$205,$A30,$B$2:$B$205,$B30,$C$2:$C$205,100)))</f>
        <v/>
      </c>
      <c r="X30" s="3" t="str">
        <f aca="false">IF(ISBLANK(H30),"",ABS(H30-SUMIFS($H$2:$H$205,$A$2:$A$205,$A30,$B$2:$B$205,$B30,$C$2:$C$205,100)))</f>
        <v/>
      </c>
      <c r="Y30" s="3" t="str">
        <f aca="false">IF(ISBLANK(I30),"",ABS(I30-SUMIFS($I$2:$I$205,$A$2:$A$205,$A30,$B$2:$B$205,$B30,$C$2:$C$205,100)))</f>
        <v/>
      </c>
      <c r="Z30" s="3" t="str">
        <f aca="false">IF(ISBLANK(J30),"",ABS(J30-SUMIFS($J$2:$J$205,$A$2:$A$205,$A30,$B$2:$B$205,$B30,$C$2:$C$205,100)))</f>
        <v/>
      </c>
      <c r="AA30" s="3" t="str">
        <f aca="false">IF(ISBLANK(K30),"",ABS(K30-SUMIFS($K$2:$K$205,$A$2:$A$205,$A30,$B$2:$B$205,$B30,$C$2:$C$205,100)))</f>
        <v/>
      </c>
      <c r="AB30" s="3" t="str">
        <f aca="false">IF(ISBLANK(L30),"",ABS(L30-SUMIFS($L$2:$L$205,$A$2:$A$205,$A30,$B$2:$B$205,$B30,$C$2:$C$205,100)))</f>
        <v/>
      </c>
      <c r="AC30" s="3" t="str">
        <f aca="false">IF(ISBLANK(M30),"",ABS(M30-SUMIFS($M$2:$M$205,$A$2:$A$205,$A30,$B$2:$B$205,$B30,$C$2:$C$205,100)))</f>
        <v/>
      </c>
      <c r="AD30" s="3" t="str">
        <f aca="false">IF(ISBLANK(N30),"",ABS(N30-SUMIFS($N$2:$N$205,$A$2:$A$205,$A30,$B$2:$B$205,$B30,$C$2:$C$205,100)))</f>
        <v/>
      </c>
      <c r="AE30" s="3" t="str">
        <f aca="false">IF(ISBLANK(O30),"",ABS(O30-SUMIFS($O$2:$O$205,$A$2:$A$205,$A30,$B$2:$B$205,$B30,$C$2:$C$205,100)))</f>
        <v/>
      </c>
      <c r="AF30" s="3" t="str">
        <f aca="false">IF(ISBLANK(P30),"",ABS(P30-SUMIFS($P$2:$P$205,$A$2:$A$205,$A30,$B$2:$B$205,$B30,$C$2:$C$205,100)))</f>
        <v/>
      </c>
      <c r="AG30" s="3" t="str">
        <f aca="false">IF(ISBLANK(Q30),"",ABS(Q30-SUMIFS($Q$2:$Q$205,$A$2:$A$205,$A30,$B$2:$B$205,$B30,$C$2:$C$205,100)))</f>
        <v/>
      </c>
      <c r="AH30" s="3" t="str">
        <f aca="false">IF(ISBLANK(R30),"",ABS(R30-SUMIFS($R$2:$R$205,$A$2:$A$205,$A30,$B$2:$B$205,$B30,$C$2:$C$205,100)))</f>
        <v/>
      </c>
      <c r="AI30" s="3" t="str">
        <f aca="false">IF(ISBLANK(S30),"",ABS(S30-SUMIFS($S$2:$S$205,$A$2:$A$205,$A30,$B$2:$B$205,$B30,$C$2:$C$205,100)))</f>
        <v/>
      </c>
      <c r="AJ30" s="3" t="n">
        <f aca="false">MAX(V30:AI30)</f>
        <v>0.00139729803917243</v>
      </c>
    </row>
    <row r="31" customFormat="false" ht="15" hidden="false" customHeight="false" outlineLevel="0" collapsed="false">
      <c r="A31" s="2" t="s">
        <v>36</v>
      </c>
      <c r="B31" s="2" t="s">
        <v>40</v>
      </c>
      <c r="C31" s="2" t="n">
        <v>50</v>
      </c>
      <c r="D31" s="3" t="n">
        <v>-2.94480038062223</v>
      </c>
      <c r="E31" s="3" t="n">
        <v>-0.0832480159878535</v>
      </c>
      <c r="F31" s="3" t="n">
        <v>-0.901285057921972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n">
        <f aca="false">ABS(D31-SUMIFS($D$2:$D$205,$A$2:$A$205,$A31,$B$2:$B$205,$B31,$C$2:$C$205,100))</f>
        <v>3.19744231092045E-014</v>
      </c>
      <c r="U31" s="3" t="n">
        <f aca="false">ABS(E31-SUMIFS($E$2:$E$205,$A$2:$A$205,$A31,$B$2:$B$205,$B31,$C$2:$C$205,100))</f>
        <v>1.6903145549918E-014</v>
      </c>
      <c r="V31" s="3" t="n">
        <f aca="false">IF(ISBLANK(F31),"",ABS(F31-SUMIFS($F$2:$F$205,$A$2:$A$205,$A31,$B$2:$B$205,$B31,$C$2:$C$205,100)))</f>
        <v>7.11876732673034E-007</v>
      </c>
      <c r="W31" s="3" t="str">
        <f aca="false">IF(ISBLANK(G31),"",ABS(G31-SUMIFS($G$2:$G$205,$A$2:$A$205,$A31,$B$2:$B$205,$B31,$C$2:$C$205,100)))</f>
        <v/>
      </c>
      <c r="X31" s="3" t="str">
        <f aca="false">IF(ISBLANK(H31),"",ABS(H31-SUMIFS($H$2:$H$205,$A$2:$A$205,$A31,$B$2:$B$205,$B31,$C$2:$C$205,100)))</f>
        <v/>
      </c>
      <c r="Y31" s="3" t="str">
        <f aca="false">IF(ISBLANK(I31),"",ABS(I31-SUMIFS($I$2:$I$205,$A$2:$A$205,$A31,$B$2:$B$205,$B31,$C$2:$C$205,100)))</f>
        <v/>
      </c>
      <c r="Z31" s="3" t="str">
        <f aca="false">IF(ISBLANK(J31),"",ABS(J31-SUMIFS($J$2:$J$205,$A$2:$A$205,$A31,$B$2:$B$205,$B31,$C$2:$C$205,100)))</f>
        <v/>
      </c>
      <c r="AA31" s="3" t="str">
        <f aca="false">IF(ISBLANK(K31),"",ABS(K31-SUMIFS($K$2:$K$205,$A$2:$A$205,$A31,$B$2:$B$205,$B31,$C$2:$C$205,100)))</f>
        <v/>
      </c>
      <c r="AB31" s="3" t="str">
        <f aca="false">IF(ISBLANK(L31),"",ABS(L31-SUMIFS($L$2:$L$205,$A$2:$A$205,$A31,$B$2:$B$205,$B31,$C$2:$C$205,100)))</f>
        <v/>
      </c>
      <c r="AC31" s="3" t="str">
        <f aca="false">IF(ISBLANK(M31),"",ABS(M31-SUMIFS($M$2:$M$205,$A$2:$A$205,$A31,$B$2:$B$205,$B31,$C$2:$C$205,100)))</f>
        <v/>
      </c>
      <c r="AD31" s="3" t="str">
        <f aca="false">IF(ISBLANK(N31),"",ABS(N31-SUMIFS($N$2:$N$205,$A$2:$A$205,$A31,$B$2:$B$205,$B31,$C$2:$C$205,100)))</f>
        <v/>
      </c>
      <c r="AE31" s="3" t="str">
        <f aca="false">IF(ISBLANK(O31),"",ABS(O31-SUMIFS($O$2:$O$205,$A$2:$A$205,$A31,$B$2:$B$205,$B31,$C$2:$C$205,100)))</f>
        <v/>
      </c>
      <c r="AF31" s="3" t="str">
        <f aca="false">IF(ISBLANK(P31),"",ABS(P31-SUMIFS($P$2:$P$205,$A$2:$A$205,$A31,$B$2:$B$205,$B31,$C$2:$C$205,100)))</f>
        <v/>
      </c>
      <c r="AG31" s="3" t="str">
        <f aca="false">IF(ISBLANK(Q31),"",ABS(Q31-SUMIFS($Q$2:$Q$205,$A$2:$A$205,$A31,$B$2:$B$205,$B31,$C$2:$C$205,100)))</f>
        <v/>
      </c>
      <c r="AH31" s="3" t="str">
        <f aca="false">IF(ISBLANK(R31),"",ABS(R31-SUMIFS($R$2:$R$205,$A$2:$A$205,$A31,$B$2:$B$205,$B31,$C$2:$C$205,100)))</f>
        <v/>
      </c>
      <c r="AI31" s="3" t="str">
        <f aca="false">IF(ISBLANK(S31),"",ABS(S31-SUMIFS($S$2:$S$205,$A$2:$A$205,$A31,$B$2:$B$205,$B31,$C$2:$C$205,100)))</f>
        <v/>
      </c>
      <c r="AJ31" s="3" t="n">
        <f aca="false">MAX(V31:AI31)</f>
        <v>7.11876732673034E-007</v>
      </c>
    </row>
    <row r="32" customFormat="false" ht="15" hidden="false" customHeight="false" outlineLevel="0" collapsed="false">
      <c r="A32" s="2" t="s">
        <v>36</v>
      </c>
      <c r="B32" s="2" t="s">
        <v>40</v>
      </c>
      <c r="C32" s="2" t="n">
        <v>80</v>
      </c>
      <c r="D32" s="3" t="n">
        <v>-2.94480038062222</v>
      </c>
      <c r="E32" s="3" t="n">
        <v>-0.0832480159878498</v>
      </c>
      <c r="F32" s="3" t="n">
        <v>-0.901284344205838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n">
        <f aca="false">ABS(D32-SUMIFS($D$2:$D$205,$A$2:$A$205,$A32,$B$2:$B$205,$B32,$C$2:$C$205,100))</f>
        <v>3.99680288865056E-014</v>
      </c>
      <c r="U32" s="3" t="n">
        <f aca="false">ABS(E32-SUMIFS($E$2:$E$205,$A$2:$A$205,$A32,$B$2:$B$205,$B32,$C$2:$C$205,100))</f>
        <v>2.05391259555654E-014</v>
      </c>
      <c r="V32" s="3" t="n">
        <f aca="false">IF(ISBLANK(F32),"",ABS(F32-SUMIFS($F$2:$F$205,$A$2:$A$205,$A32,$B$2:$B$205,$B32,$C$2:$C$205,100)))</f>
        <v>1.8394015199874E-009</v>
      </c>
      <c r="W32" s="3" t="str">
        <f aca="false">IF(ISBLANK(G32),"",ABS(G32-SUMIFS($G$2:$G$205,$A$2:$A$205,$A32,$B$2:$B$205,$B32,$C$2:$C$205,100)))</f>
        <v/>
      </c>
      <c r="X32" s="3" t="str">
        <f aca="false">IF(ISBLANK(H32),"",ABS(H32-SUMIFS($H$2:$H$205,$A$2:$A$205,$A32,$B$2:$B$205,$B32,$C$2:$C$205,100)))</f>
        <v/>
      </c>
      <c r="Y32" s="3" t="str">
        <f aca="false">IF(ISBLANK(I32),"",ABS(I32-SUMIFS($I$2:$I$205,$A$2:$A$205,$A32,$B$2:$B$205,$B32,$C$2:$C$205,100)))</f>
        <v/>
      </c>
      <c r="Z32" s="3" t="str">
        <f aca="false">IF(ISBLANK(J32),"",ABS(J32-SUMIFS($J$2:$J$205,$A$2:$A$205,$A32,$B$2:$B$205,$B32,$C$2:$C$205,100)))</f>
        <v/>
      </c>
      <c r="AA32" s="3" t="str">
        <f aca="false">IF(ISBLANK(K32),"",ABS(K32-SUMIFS($K$2:$K$205,$A$2:$A$205,$A32,$B$2:$B$205,$B32,$C$2:$C$205,100)))</f>
        <v/>
      </c>
      <c r="AB32" s="3" t="str">
        <f aca="false">IF(ISBLANK(L32),"",ABS(L32-SUMIFS($L$2:$L$205,$A$2:$A$205,$A32,$B$2:$B$205,$B32,$C$2:$C$205,100)))</f>
        <v/>
      </c>
      <c r="AC32" s="3" t="str">
        <f aca="false">IF(ISBLANK(M32),"",ABS(M32-SUMIFS($M$2:$M$205,$A$2:$A$205,$A32,$B$2:$B$205,$B32,$C$2:$C$205,100)))</f>
        <v/>
      </c>
      <c r="AD32" s="3" t="str">
        <f aca="false">IF(ISBLANK(N32),"",ABS(N32-SUMIFS($N$2:$N$205,$A$2:$A$205,$A32,$B$2:$B$205,$B32,$C$2:$C$205,100)))</f>
        <v/>
      </c>
      <c r="AE32" s="3" t="str">
        <f aca="false">IF(ISBLANK(O32),"",ABS(O32-SUMIFS($O$2:$O$205,$A$2:$A$205,$A32,$B$2:$B$205,$B32,$C$2:$C$205,100)))</f>
        <v/>
      </c>
      <c r="AF32" s="3" t="str">
        <f aca="false">IF(ISBLANK(P32),"",ABS(P32-SUMIFS($P$2:$P$205,$A$2:$A$205,$A32,$B$2:$B$205,$B32,$C$2:$C$205,100)))</f>
        <v/>
      </c>
      <c r="AG32" s="3" t="str">
        <f aca="false">IF(ISBLANK(Q32),"",ABS(Q32-SUMIFS($Q$2:$Q$205,$A$2:$A$205,$A32,$B$2:$B$205,$B32,$C$2:$C$205,100)))</f>
        <v/>
      </c>
      <c r="AH32" s="3" t="str">
        <f aca="false">IF(ISBLANK(R32),"",ABS(R32-SUMIFS($R$2:$R$205,$A$2:$A$205,$A32,$B$2:$B$205,$B32,$C$2:$C$205,100)))</f>
        <v/>
      </c>
      <c r="AI32" s="3" t="str">
        <f aca="false">IF(ISBLANK(S32),"",ABS(S32-SUMIFS($S$2:$S$205,$A$2:$A$205,$A32,$B$2:$B$205,$B32,$C$2:$C$205,100)))</f>
        <v/>
      </c>
      <c r="AJ32" s="3" t="n">
        <f aca="false">MAX(V32:AI32)</f>
        <v>1.8394015199874E-009</v>
      </c>
    </row>
    <row r="33" customFormat="false" ht="15" hidden="false" customHeight="false" outlineLevel="0" collapsed="false">
      <c r="A33" s="4" t="s">
        <v>36</v>
      </c>
      <c r="B33" s="4" t="s">
        <v>40</v>
      </c>
      <c r="C33" s="4" t="n">
        <v>100</v>
      </c>
      <c r="D33" s="5" t="n">
        <v>-2.94480038062226</v>
      </c>
      <c r="E33" s="5" t="n">
        <v>-0.0832480159878704</v>
      </c>
      <c r="F33" s="3" t="n">
        <v>-0.90128434604524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 t="n">
        <f aca="false">ABS(D33-SUMIFS($D$2:$D$205,$A$2:$A$205,$A33,$B$2:$B$205,$B33,$C$2:$C$205,100))</f>
        <v>0</v>
      </c>
      <c r="U33" s="3" t="n">
        <f aca="false">ABS(E33-SUMIFS($E$2:$E$205,$A$2:$A$205,$A33,$B$2:$B$205,$B33,$C$2:$C$205,100))</f>
        <v>0</v>
      </c>
      <c r="V33" s="3" t="n">
        <f aca="false">IF(ISBLANK(F33),"",ABS(F33-SUMIFS($F$2:$F$205,$A$2:$A$205,$A33,$B$2:$B$205,$B33,$C$2:$C$205,100)))</f>
        <v>0</v>
      </c>
      <c r="W33" s="3" t="str">
        <f aca="false">IF(ISBLANK(G33),"",ABS(G33-SUMIFS($G$2:$G$205,$A$2:$A$205,$A33,$B$2:$B$205,$B33,$C$2:$C$205,100)))</f>
        <v/>
      </c>
      <c r="X33" s="3" t="str">
        <f aca="false">IF(ISBLANK(H33),"",ABS(H33-SUMIFS($H$2:$H$205,$A$2:$A$205,$A33,$B$2:$B$205,$B33,$C$2:$C$205,100)))</f>
        <v/>
      </c>
      <c r="Y33" s="3" t="str">
        <f aca="false">IF(ISBLANK(I33),"",ABS(I33-SUMIFS($I$2:$I$205,$A$2:$A$205,$A33,$B$2:$B$205,$B33,$C$2:$C$205,100)))</f>
        <v/>
      </c>
      <c r="Z33" s="3" t="str">
        <f aca="false">IF(ISBLANK(J33),"",ABS(J33-SUMIFS($J$2:$J$205,$A$2:$A$205,$A33,$B$2:$B$205,$B33,$C$2:$C$205,100)))</f>
        <v/>
      </c>
      <c r="AA33" s="3" t="str">
        <f aca="false">IF(ISBLANK(K33),"",ABS(K33-SUMIFS($K$2:$K$205,$A$2:$A$205,$A33,$B$2:$B$205,$B33,$C$2:$C$205,100)))</f>
        <v/>
      </c>
      <c r="AB33" s="3" t="str">
        <f aca="false">IF(ISBLANK(L33),"",ABS(L33-SUMIFS($L$2:$L$205,$A$2:$A$205,$A33,$B$2:$B$205,$B33,$C$2:$C$205,100)))</f>
        <v/>
      </c>
      <c r="AC33" s="3" t="str">
        <f aca="false">IF(ISBLANK(M33),"",ABS(M33-SUMIFS($M$2:$M$205,$A$2:$A$205,$A33,$B$2:$B$205,$B33,$C$2:$C$205,100)))</f>
        <v/>
      </c>
      <c r="AD33" s="3" t="str">
        <f aca="false">IF(ISBLANK(N33),"",ABS(N33-SUMIFS($N$2:$N$205,$A$2:$A$205,$A33,$B$2:$B$205,$B33,$C$2:$C$205,100)))</f>
        <v/>
      </c>
      <c r="AE33" s="3" t="str">
        <f aca="false">IF(ISBLANK(O33),"",ABS(O33-SUMIFS($O$2:$O$205,$A$2:$A$205,$A33,$B$2:$B$205,$B33,$C$2:$C$205,100)))</f>
        <v/>
      </c>
      <c r="AF33" s="3" t="str">
        <f aca="false">IF(ISBLANK(P33),"",ABS(P33-SUMIFS($P$2:$P$205,$A$2:$A$205,$A33,$B$2:$B$205,$B33,$C$2:$C$205,100)))</f>
        <v/>
      </c>
      <c r="AG33" s="3" t="str">
        <f aca="false">IF(ISBLANK(Q33),"",ABS(Q33-SUMIFS($Q$2:$Q$205,$A$2:$A$205,$A33,$B$2:$B$205,$B33,$C$2:$C$205,100)))</f>
        <v/>
      </c>
      <c r="AH33" s="3" t="str">
        <f aca="false">IF(ISBLANK(R33),"",ABS(R33-SUMIFS($R$2:$R$205,$A$2:$A$205,$A33,$B$2:$B$205,$B33,$C$2:$C$205,100)))</f>
        <v/>
      </c>
      <c r="AI33" s="3" t="str">
        <f aca="false">IF(ISBLANK(S33),"",ABS(S33-SUMIFS($S$2:$S$205,$A$2:$A$205,$A33,$B$2:$B$205,$B33,$C$2:$C$205,100)))</f>
        <v/>
      </c>
      <c r="AJ33" s="3" t="n">
        <f aca="false">MAX(V33:AI33)</f>
        <v>0</v>
      </c>
    </row>
    <row r="34" customFormat="false" ht="15" hidden="false" customHeight="false" outlineLevel="0" collapsed="false">
      <c r="A34" s="2" t="s">
        <v>36</v>
      </c>
      <c r="B34" s="2" t="s">
        <v>41</v>
      </c>
      <c r="C34" s="2" t="n">
        <v>5</v>
      </c>
      <c r="D34" s="3" t="n">
        <v>-2.94512393144877</v>
      </c>
      <c r="E34" s="3" t="n">
        <v>-0.0835722659132057</v>
      </c>
      <c r="F34" s="3" t="n">
        <v>-0.934492134350757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n">
        <f aca="false">ABS(D34-SUMIFS($D$2:$D$205,$A$2:$A$205,$A34,$B$2:$B$205,$B34,$C$2:$C$205,100))</f>
        <v>0.000323553313470892</v>
      </c>
      <c r="U34" s="3" t="n">
        <f aca="false">ABS(E34-SUMIFS($E$2:$E$205,$A$2:$A$205,$A34,$B$2:$B$205,$B34,$C$2:$C$205,100))</f>
        <v>0.00032425245187552</v>
      </c>
      <c r="V34" s="3" t="n">
        <f aca="false">IF(ISBLANK(F34),"",ABS(F34-SUMIFS($F$2:$F$205,$A$2:$A$205,$A34,$B$2:$B$205,$B34,$C$2:$C$205,100)))</f>
        <v>0.0332077919566758</v>
      </c>
      <c r="W34" s="3" t="str">
        <f aca="false">IF(ISBLANK(G34),"",ABS(G34-SUMIFS($G$2:$G$205,$A$2:$A$205,$A34,$B$2:$B$205,$B34,$C$2:$C$205,100)))</f>
        <v/>
      </c>
      <c r="X34" s="3" t="str">
        <f aca="false">IF(ISBLANK(H34),"",ABS(H34-SUMIFS($H$2:$H$205,$A$2:$A$205,$A34,$B$2:$B$205,$B34,$C$2:$C$205,100)))</f>
        <v/>
      </c>
      <c r="Y34" s="3" t="str">
        <f aca="false">IF(ISBLANK(I34),"",ABS(I34-SUMIFS($I$2:$I$205,$A$2:$A$205,$A34,$B$2:$B$205,$B34,$C$2:$C$205,100)))</f>
        <v/>
      </c>
      <c r="Z34" s="3" t="str">
        <f aca="false">IF(ISBLANK(J34),"",ABS(J34-SUMIFS($J$2:$J$205,$A$2:$A$205,$A34,$B$2:$B$205,$B34,$C$2:$C$205,100)))</f>
        <v/>
      </c>
      <c r="AA34" s="3" t="str">
        <f aca="false">IF(ISBLANK(K34),"",ABS(K34-SUMIFS($K$2:$K$205,$A$2:$A$205,$A34,$B$2:$B$205,$B34,$C$2:$C$205,100)))</f>
        <v/>
      </c>
      <c r="AB34" s="3" t="str">
        <f aca="false">IF(ISBLANK(L34),"",ABS(L34-SUMIFS($L$2:$L$205,$A$2:$A$205,$A34,$B$2:$B$205,$B34,$C$2:$C$205,100)))</f>
        <v/>
      </c>
      <c r="AC34" s="3" t="str">
        <f aca="false">IF(ISBLANK(M34),"",ABS(M34-SUMIFS($M$2:$M$205,$A$2:$A$205,$A34,$B$2:$B$205,$B34,$C$2:$C$205,100)))</f>
        <v/>
      </c>
      <c r="AD34" s="3" t="str">
        <f aca="false">IF(ISBLANK(N34),"",ABS(N34-SUMIFS($N$2:$N$205,$A$2:$A$205,$A34,$B$2:$B$205,$B34,$C$2:$C$205,100)))</f>
        <v/>
      </c>
      <c r="AE34" s="3" t="str">
        <f aca="false">IF(ISBLANK(O34),"",ABS(O34-SUMIFS($O$2:$O$205,$A$2:$A$205,$A34,$B$2:$B$205,$B34,$C$2:$C$205,100)))</f>
        <v/>
      </c>
      <c r="AF34" s="3" t="str">
        <f aca="false">IF(ISBLANK(P34),"",ABS(P34-SUMIFS($P$2:$P$205,$A$2:$A$205,$A34,$B$2:$B$205,$B34,$C$2:$C$205,100)))</f>
        <v/>
      </c>
      <c r="AG34" s="3" t="str">
        <f aca="false">IF(ISBLANK(Q34),"",ABS(Q34-SUMIFS($Q$2:$Q$205,$A$2:$A$205,$A34,$B$2:$B$205,$B34,$C$2:$C$205,100)))</f>
        <v/>
      </c>
      <c r="AH34" s="3" t="str">
        <f aca="false">IF(ISBLANK(R34),"",ABS(R34-SUMIFS($R$2:$R$205,$A$2:$A$205,$A34,$B$2:$B$205,$B34,$C$2:$C$205,100)))</f>
        <v/>
      </c>
      <c r="AI34" s="3" t="str">
        <f aca="false">IF(ISBLANK(S34),"",ABS(S34-SUMIFS($S$2:$S$205,$A$2:$A$205,$A34,$B$2:$B$205,$B34,$C$2:$C$205,100)))</f>
        <v/>
      </c>
      <c r="AJ34" s="3" t="n">
        <f aca="false">MAX(V34:AI34)</f>
        <v>0.0332077919566758</v>
      </c>
    </row>
    <row r="35" customFormat="false" ht="15" hidden="false" customHeight="false" outlineLevel="0" collapsed="false">
      <c r="A35" s="2" t="s">
        <v>36</v>
      </c>
      <c r="B35" s="2" t="s">
        <v>41</v>
      </c>
      <c r="C35" s="2" t="n">
        <v>10</v>
      </c>
      <c r="D35" s="3" t="n">
        <v>-2.94482679948372</v>
      </c>
      <c r="E35" s="3" t="n">
        <v>-0.0832749524734755</v>
      </c>
      <c r="F35" s="3" t="n">
        <v>-0.903139071977342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n">
        <f aca="false">ABS(D35-SUMIFS($D$2:$D$205,$A$2:$A$205,$A35,$B$2:$B$205,$B35,$C$2:$C$205,100))</f>
        <v>2.64213484229003E-005</v>
      </c>
      <c r="U35" s="3" t="n">
        <f aca="false">ABS(E35-SUMIFS($E$2:$E$205,$A$2:$A$205,$A35,$B$2:$B$205,$B35,$C$2:$C$205,100))</f>
        <v>2.69390121452606E-005</v>
      </c>
      <c r="V35" s="3" t="n">
        <f aca="false">IF(ISBLANK(F35),"",ABS(F35-SUMIFS($F$2:$F$205,$A$2:$A$205,$A35,$B$2:$B$205,$B35,$C$2:$C$205,100)))</f>
        <v>0.00185472958326094</v>
      </c>
      <c r="W35" s="3" t="str">
        <f aca="false">IF(ISBLANK(G35),"",ABS(G35-SUMIFS($G$2:$G$205,$A$2:$A$205,$A35,$B$2:$B$205,$B35,$C$2:$C$205,100)))</f>
        <v/>
      </c>
      <c r="X35" s="3" t="str">
        <f aca="false">IF(ISBLANK(H35),"",ABS(H35-SUMIFS($H$2:$H$205,$A$2:$A$205,$A35,$B$2:$B$205,$B35,$C$2:$C$205,100)))</f>
        <v/>
      </c>
      <c r="Y35" s="3" t="str">
        <f aca="false">IF(ISBLANK(I35),"",ABS(I35-SUMIFS($I$2:$I$205,$A$2:$A$205,$A35,$B$2:$B$205,$B35,$C$2:$C$205,100)))</f>
        <v/>
      </c>
      <c r="Z35" s="3" t="str">
        <f aca="false">IF(ISBLANK(J35),"",ABS(J35-SUMIFS($J$2:$J$205,$A$2:$A$205,$A35,$B$2:$B$205,$B35,$C$2:$C$205,100)))</f>
        <v/>
      </c>
      <c r="AA35" s="3" t="str">
        <f aca="false">IF(ISBLANK(K35),"",ABS(K35-SUMIFS($K$2:$K$205,$A$2:$A$205,$A35,$B$2:$B$205,$B35,$C$2:$C$205,100)))</f>
        <v/>
      </c>
      <c r="AB35" s="3" t="str">
        <f aca="false">IF(ISBLANK(L35),"",ABS(L35-SUMIFS($L$2:$L$205,$A$2:$A$205,$A35,$B$2:$B$205,$B35,$C$2:$C$205,100)))</f>
        <v/>
      </c>
      <c r="AC35" s="3" t="str">
        <f aca="false">IF(ISBLANK(M35),"",ABS(M35-SUMIFS($M$2:$M$205,$A$2:$A$205,$A35,$B$2:$B$205,$B35,$C$2:$C$205,100)))</f>
        <v/>
      </c>
      <c r="AD35" s="3" t="str">
        <f aca="false">IF(ISBLANK(N35),"",ABS(N35-SUMIFS($N$2:$N$205,$A$2:$A$205,$A35,$B$2:$B$205,$B35,$C$2:$C$205,100)))</f>
        <v/>
      </c>
      <c r="AE35" s="3" t="str">
        <f aca="false">IF(ISBLANK(O35),"",ABS(O35-SUMIFS($O$2:$O$205,$A$2:$A$205,$A35,$B$2:$B$205,$B35,$C$2:$C$205,100)))</f>
        <v/>
      </c>
      <c r="AF35" s="3" t="str">
        <f aca="false">IF(ISBLANK(P35),"",ABS(P35-SUMIFS($P$2:$P$205,$A$2:$A$205,$A35,$B$2:$B$205,$B35,$C$2:$C$205,100)))</f>
        <v/>
      </c>
      <c r="AG35" s="3" t="str">
        <f aca="false">IF(ISBLANK(Q35),"",ABS(Q35-SUMIFS($Q$2:$Q$205,$A$2:$A$205,$A35,$B$2:$B$205,$B35,$C$2:$C$205,100)))</f>
        <v/>
      </c>
      <c r="AH35" s="3" t="str">
        <f aca="false">IF(ISBLANK(R35),"",ABS(R35-SUMIFS($R$2:$R$205,$A$2:$A$205,$A35,$B$2:$B$205,$B35,$C$2:$C$205,100)))</f>
        <v/>
      </c>
      <c r="AI35" s="3" t="str">
        <f aca="false">IF(ISBLANK(S35),"",ABS(S35-SUMIFS($S$2:$S$205,$A$2:$A$205,$A35,$B$2:$B$205,$B35,$C$2:$C$205,100)))</f>
        <v/>
      </c>
      <c r="AJ35" s="3" t="n">
        <f aca="false">MAX(V35:AI35)</f>
        <v>0.00185472958326094</v>
      </c>
    </row>
    <row r="36" customFormat="false" ht="15" hidden="false" customHeight="false" outlineLevel="0" collapsed="false">
      <c r="A36" s="2" t="s">
        <v>36</v>
      </c>
      <c r="B36" s="2" t="s">
        <v>41</v>
      </c>
      <c r="C36" s="2" t="n">
        <v>15</v>
      </c>
      <c r="D36" s="3" t="n">
        <v>-2.94480305788109</v>
      </c>
      <c r="E36" s="3" t="n">
        <v>-0.0832508129426624</v>
      </c>
      <c r="F36" s="3" t="n">
        <v>-0.901258551596507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n">
        <f aca="false">ABS(D36-SUMIFS($D$2:$D$205,$A$2:$A$205,$A36,$B$2:$B$205,$B36,$C$2:$C$205,100))</f>
        <v>2.67974578482821E-006</v>
      </c>
      <c r="U36" s="3" t="n">
        <f aca="false">ABS(E36-SUMIFS($E$2:$E$205,$A$2:$A$205,$A36,$B$2:$B$205,$B36,$C$2:$C$205,100))</f>
        <v>2.79948133213859E-006</v>
      </c>
      <c r="V36" s="3" t="n">
        <f aca="false">IF(ISBLANK(F36),"",ABS(F36-SUMIFS($F$2:$F$205,$A$2:$A$205,$A36,$B$2:$B$205,$B36,$C$2:$C$205,100)))</f>
        <v>2.57907975733662E-005</v>
      </c>
      <c r="W36" s="3" t="str">
        <f aca="false">IF(ISBLANK(G36),"",ABS(G36-SUMIFS($G$2:$G$205,$A$2:$A$205,$A36,$B$2:$B$205,$B36,$C$2:$C$205,100)))</f>
        <v/>
      </c>
      <c r="X36" s="3" t="str">
        <f aca="false">IF(ISBLANK(H36),"",ABS(H36-SUMIFS($H$2:$H$205,$A$2:$A$205,$A36,$B$2:$B$205,$B36,$C$2:$C$205,100)))</f>
        <v/>
      </c>
      <c r="Y36" s="3" t="str">
        <f aca="false">IF(ISBLANK(I36),"",ABS(I36-SUMIFS($I$2:$I$205,$A$2:$A$205,$A36,$B$2:$B$205,$B36,$C$2:$C$205,100)))</f>
        <v/>
      </c>
      <c r="Z36" s="3" t="str">
        <f aca="false">IF(ISBLANK(J36),"",ABS(J36-SUMIFS($J$2:$J$205,$A$2:$A$205,$A36,$B$2:$B$205,$B36,$C$2:$C$205,100)))</f>
        <v/>
      </c>
      <c r="AA36" s="3" t="str">
        <f aca="false">IF(ISBLANK(K36),"",ABS(K36-SUMIFS($K$2:$K$205,$A$2:$A$205,$A36,$B$2:$B$205,$B36,$C$2:$C$205,100)))</f>
        <v/>
      </c>
      <c r="AB36" s="3" t="str">
        <f aca="false">IF(ISBLANK(L36),"",ABS(L36-SUMIFS($L$2:$L$205,$A$2:$A$205,$A36,$B$2:$B$205,$B36,$C$2:$C$205,100)))</f>
        <v/>
      </c>
      <c r="AC36" s="3" t="str">
        <f aca="false">IF(ISBLANK(M36),"",ABS(M36-SUMIFS($M$2:$M$205,$A$2:$A$205,$A36,$B$2:$B$205,$B36,$C$2:$C$205,100)))</f>
        <v/>
      </c>
      <c r="AD36" s="3" t="str">
        <f aca="false">IF(ISBLANK(N36),"",ABS(N36-SUMIFS($N$2:$N$205,$A$2:$A$205,$A36,$B$2:$B$205,$B36,$C$2:$C$205,100)))</f>
        <v/>
      </c>
      <c r="AE36" s="3" t="str">
        <f aca="false">IF(ISBLANK(O36),"",ABS(O36-SUMIFS($O$2:$O$205,$A$2:$A$205,$A36,$B$2:$B$205,$B36,$C$2:$C$205,100)))</f>
        <v/>
      </c>
      <c r="AF36" s="3" t="str">
        <f aca="false">IF(ISBLANK(P36),"",ABS(P36-SUMIFS($P$2:$P$205,$A$2:$A$205,$A36,$B$2:$B$205,$B36,$C$2:$C$205,100)))</f>
        <v/>
      </c>
      <c r="AG36" s="3" t="str">
        <f aca="false">IF(ISBLANK(Q36),"",ABS(Q36-SUMIFS($Q$2:$Q$205,$A$2:$A$205,$A36,$B$2:$B$205,$B36,$C$2:$C$205,100)))</f>
        <v/>
      </c>
      <c r="AH36" s="3" t="str">
        <f aca="false">IF(ISBLANK(R36),"",ABS(R36-SUMIFS($R$2:$R$205,$A$2:$A$205,$A36,$B$2:$B$205,$B36,$C$2:$C$205,100)))</f>
        <v/>
      </c>
      <c r="AI36" s="3" t="str">
        <f aca="false">IF(ISBLANK(S36),"",ABS(S36-SUMIFS($S$2:$S$205,$A$2:$A$205,$A36,$B$2:$B$205,$B36,$C$2:$C$205,100)))</f>
        <v/>
      </c>
      <c r="AJ36" s="3" t="n">
        <f aca="false">MAX(V36:AI36)</f>
        <v>2.57907975733662E-005</v>
      </c>
    </row>
    <row r="37" customFormat="false" ht="15" hidden="false" customHeight="false" outlineLevel="0" collapsed="false">
      <c r="A37" s="2" t="s">
        <v>36</v>
      </c>
      <c r="B37" s="2" t="s">
        <v>41</v>
      </c>
      <c r="C37" s="2" t="n">
        <v>20</v>
      </c>
      <c r="D37" s="3" t="n">
        <v>-2.9448003727298</v>
      </c>
      <c r="E37" s="3" t="n">
        <v>-0.0832480344935526</v>
      </c>
      <c r="F37" s="3" t="n">
        <v>-0.901283993459412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n">
        <f aca="false">ABS(D37-SUMIFS($D$2:$D$205,$A$2:$A$205,$A37,$B$2:$B$205,$B37,$C$2:$C$205,100))</f>
        <v>5.40550226801884E-009</v>
      </c>
      <c r="U37" s="3" t="n">
        <f aca="false">ABS(E37-SUMIFS($E$2:$E$205,$A$2:$A$205,$A37,$B$2:$B$205,$B37,$C$2:$C$205,100))</f>
        <v>2.10322224220016E-008</v>
      </c>
      <c r="V37" s="3" t="n">
        <f aca="false">IF(ISBLANK(F37),"",ABS(F37-SUMIFS($F$2:$F$205,$A$2:$A$205,$A37,$B$2:$B$205,$B37,$C$2:$C$205,100)))</f>
        <v>3.48934668381595E-007</v>
      </c>
      <c r="W37" s="3" t="str">
        <f aca="false">IF(ISBLANK(G37),"",ABS(G37-SUMIFS($G$2:$G$205,$A$2:$A$205,$A37,$B$2:$B$205,$B37,$C$2:$C$205,100)))</f>
        <v/>
      </c>
      <c r="X37" s="3" t="str">
        <f aca="false">IF(ISBLANK(H37),"",ABS(H37-SUMIFS($H$2:$H$205,$A$2:$A$205,$A37,$B$2:$B$205,$B37,$C$2:$C$205,100)))</f>
        <v/>
      </c>
      <c r="Y37" s="3" t="str">
        <f aca="false">IF(ISBLANK(I37),"",ABS(I37-SUMIFS($I$2:$I$205,$A$2:$A$205,$A37,$B$2:$B$205,$B37,$C$2:$C$205,100)))</f>
        <v/>
      </c>
      <c r="Z37" s="3" t="str">
        <f aca="false">IF(ISBLANK(J37),"",ABS(J37-SUMIFS($J$2:$J$205,$A$2:$A$205,$A37,$B$2:$B$205,$B37,$C$2:$C$205,100)))</f>
        <v/>
      </c>
      <c r="AA37" s="3" t="str">
        <f aca="false">IF(ISBLANK(K37),"",ABS(K37-SUMIFS($K$2:$K$205,$A$2:$A$205,$A37,$B$2:$B$205,$B37,$C$2:$C$205,100)))</f>
        <v/>
      </c>
      <c r="AB37" s="3" t="str">
        <f aca="false">IF(ISBLANK(L37),"",ABS(L37-SUMIFS($L$2:$L$205,$A$2:$A$205,$A37,$B$2:$B$205,$B37,$C$2:$C$205,100)))</f>
        <v/>
      </c>
      <c r="AC37" s="3" t="str">
        <f aca="false">IF(ISBLANK(M37),"",ABS(M37-SUMIFS($M$2:$M$205,$A$2:$A$205,$A37,$B$2:$B$205,$B37,$C$2:$C$205,100)))</f>
        <v/>
      </c>
      <c r="AD37" s="3" t="str">
        <f aca="false">IF(ISBLANK(N37),"",ABS(N37-SUMIFS($N$2:$N$205,$A$2:$A$205,$A37,$B$2:$B$205,$B37,$C$2:$C$205,100)))</f>
        <v/>
      </c>
      <c r="AE37" s="3" t="str">
        <f aca="false">IF(ISBLANK(O37),"",ABS(O37-SUMIFS($O$2:$O$205,$A$2:$A$205,$A37,$B$2:$B$205,$B37,$C$2:$C$205,100)))</f>
        <v/>
      </c>
      <c r="AF37" s="3" t="str">
        <f aca="false">IF(ISBLANK(P37),"",ABS(P37-SUMIFS($P$2:$P$205,$A$2:$A$205,$A37,$B$2:$B$205,$B37,$C$2:$C$205,100)))</f>
        <v/>
      </c>
      <c r="AG37" s="3" t="str">
        <f aca="false">IF(ISBLANK(Q37),"",ABS(Q37-SUMIFS($Q$2:$Q$205,$A$2:$A$205,$A37,$B$2:$B$205,$B37,$C$2:$C$205,100)))</f>
        <v/>
      </c>
      <c r="AH37" s="3" t="str">
        <f aca="false">IF(ISBLANK(R37),"",ABS(R37-SUMIFS($R$2:$R$205,$A$2:$A$205,$A37,$B$2:$B$205,$B37,$C$2:$C$205,100)))</f>
        <v/>
      </c>
      <c r="AI37" s="3" t="str">
        <f aca="false">IF(ISBLANK(S37),"",ABS(S37-SUMIFS($S$2:$S$205,$A$2:$A$205,$A37,$B$2:$B$205,$B37,$C$2:$C$205,100)))</f>
        <v/>
      </c>
      <c r="AJ37" s="3" t="n">
        <f aca="false">MAX(V37:AI37)</f>
        <v>3.48934668381595E-007</v>
      </c>
    </row>
    <row r="38" customFormat="false" ht="15" hidden="false" customHeight="false" outlineLevel="0" collapsed="false">
      <c r="A38" s="2" t="s">
        <v>36</v>
      </c>
      <c r="B38" s="2" t="s">
        <v>41</v>
      </c>
      <c r="C38" s="2" t="n">
        <v>30</v>
      </c>
      <c r="D38" s="3" t="n">
        <v>-2.9448001799452</v>
      </c>
      <c r="E38" s="3" t="n">
        <v>-0.0832478154115229</v>
      </c>
      <c r="F38" s="3" t="n">
        <v>-0.901284208625383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 t="n">
        <f aca="false">ABS(D38-SUMIFS($D$2:$D$205,$A$2:$A$205,$A38,$B$2:$B$205,$B38,$C$2:$C$205,100))</f>
        <v>1.98190102107532E-007</v>
      </c>
      <c r="U38" s="3" t="n">
        <f aca="false">ABS(E38-SUMIFS($E$2:$E$205,$A$2:$A$205,$A38,$B$2:$B$205,$B38,$C$2:$C$205,100))</f>
        <v>1.98049807373368E-007</v>
      </c>
      <c r="V38" s="3" t="n">
        <f aca="false">IF(ISBLANK(F38),"",ABS(F38-SUMIFS($F$2:$F$205,$A$2:$A$205,$A38,$B$2:$B$205,$B38,$C$2:$C$205,100)))</f>
        <v>1.33768697563319E-007</v>
      </c>
      <c r="W38" s="3" t="str">
        <f aca="false">IF(ISBLANK(G38),"",ABS(G38-SUMIFS($G$2:$G$205,$A$2:$A$205,$A38,$B$2:$B$205,$B38,$C$2:$C$205,100)))</f>
        <v/>
      </c>
      <c r="X38" s="3" t="str">
        <f aca="false">IF(ISBLANK(H38),"",ABS(H38-SUMIFS($H$2:$H$205,$A$2:$A$205,$A38,$B$2:$B$205,$B38,$C$2:$C$205,100)))</f>
        <v/>
      </c>
      <c r="Y38" s="3" t="str">
        <f aca="false">IF(ISBLANK(I38),"",ABS(I38-SUMIFS($I$2:$I$205,$A$2:$A$205,$A38,$B$2:$B$205,$B38,$C$2:$C$205,100)))</f>
        <v/>
      </c>
      <c r="Z38" s="3" t="str">
        <f aca="false">IF(ISBLANK(J38),"",ABS(J38-SUMIFS($J$2:$J$205,$A$2:$A$205,$A38,$B$2:$B$205,$B38,$C$2:$C$205,100)))</f>
        <v/>
      </c>
      <c r="AA38" s="3" t="str">
        <f aca="false">IF(ISBLANK(K38),"",ABS(K38-SUMIFS($K$2:$K$205,$A$2:$A$205,$A38,$B$2:$B$205,$B38,$C$2:$C$205,100)))</f>
        <v/>
      </c>
      <c r="AB38" s="3" t="str">
        <f aca="false">IF(ISBLANK(L38),"",ABS(L38-SUMIFS($L$2:$L$205,$A$2:$A$205,$A38,$B$2:$B$205,$B38,$C$2:$C$205,100)))</f>
        <v/>
      </c>
      <c r="AC38" s="3" t="str">
        <f aca="false">IF(ISBLANK(M38),"",ABS(M38-SUMIFS($M$2:$M$205,$A$2:$A$205,$A38,$B$2:$B$205,$B38,$C$2:$C$205,100)))</f>
        <v/>
      </c>
      <c r="AD38" s="3" t="str">
        <f aca="false">IF(ISBLANK(N38),"",ABS(N38-SUMIFS($N$2:$N$205,$A$2:$A$205,$A38,$B$2:$B$205,$B38,$C$2:$C$205,100)))</f>
        <v/>
      </c>
      <c r="AE38" s="3" t="str">
        <f aca="false">IF(ISBLANK(O38),"",ABS(O38-SUMIFS($O$2:$O$205,$A$2:$A$205,$A38,$B$2:$B$205,$B38,$C$2:$C$205,100)))</f>
        <v/>
      </c>
      <c r="AF38" s="3" t="str">
        <f aca="false">IF(ISBLANK(P38),"",ABS(P38-SUMIFS($P$2:$P$205,$A$2:$A$205,$A38,$B$2:$B$205,$B38,$C$2:$C$205,100)))</f>
        <v/>
      </c>
      <c r="AG38" s="3" t="str">
        <f aca="false">IF(ISBLANK(Q38),"",ABS(Q38-SUMIFS($Q$2:$Q$205,$A$2:$A$205,$A38,$B$2:$B$205,$B38,$C$2:$C$205,100)))</f>
        <v/>
      </c>
      <c r="AH38" s="3" t="str">
        <f aca="false">IF(ISBLANK(R38),"",ABS(R38-SUMIFS($R$2:$R$205,$A$2:$A$205,$A38,$B$2:$B$205,$B38,$C$2:$C$205,100)))</f>
        <v/>
      </c>
      <c r="AI38" s="3" t="str">
        <f aca="false">IF(ISBLANK(S38),"",ABS(S38-SUMIFS($S$2:$S$205,$A$2:$A$205,$A38,$B$2:$B$205,$B38,$C$2:$C$205,100)))</f>
        <v/>
      </c>
      <c r="AJ38" s="3" t="n">
        <f aca="false">MAX(V38:AI38)</f>
        <v>1.33768697563319E-007</v>
      </c>
    </row>
    <row r="39" customFormat="false" ht="15" hidden="false" customHeight="false" outlineLevel="0" collapsed="false">
      <c r="A39" s="2" t="s">
        <v>36</v>
      </c>
      <c r="B39" s="2" t="s">
        <v>41</v>
      </c>
      <c r="C39" s="2" t="n">
        <v>50</v>
      </c>
      <c r="D39" s="3" t="n">
        <v>-2.94480034277115</v>
      </c>
      <c r="E39" s="3" t="n">
        <v>-0.0832479776395044</v>
      </c>
      <c r="F39" s="3" t="n">
        <v>-0.901284320243386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n">
        <f aca="false">ABS(D39-SUMIFS($D$2:$D$205,$A$2:$A$205,$A39,$B$2:$B$205,$B39,$C$2:$C$205,100))</f>
        <v>3.53641511630087E-008</v>
      </c>
      <c r="U39" s="3" t="n">
        <f aca="false">ABS(E39-SUMIFS($E$2:$E$205,$A$2:$A$205,$A39,$B$2:$B$205,$B39,$C$2:$C$205,100))</f>
        <v>3.58218258389442E-008</v>
      </c>
      <c r="V39" s="3" t="n">
        <f aca="false">IF(ISBLANK(F39),"",ABS(F39-SUMIFS($F$2:$F$205,$A$2:$A$205,$A39,$B$2:$B$205,$B39,$C$2:$C$205,100)))</f>
        <v>2.21506950559558E-008</v>
      </c>
      <c r="W39" s="3" t="str">
        <f aca="false">IF(ISBLANK(G39),"",ABS(G39-SUMIFS($G$2:$G$205,$A$2:$A$205,$A39,$B$2:$B$205,$B39,$C$2:$C$205,100)))</f>
        <v/>
      </c>
      <c r="X39" s="3" t="str">
        <f aca="false">IF(ISBLANK(H39),"",ABS(H39-SUMIFS($H$2:$H$205,$A$2:$A$205,$A39,$B$2:$B$205,$B39,$C$2:$C$205,100)))</f>
        <v/>
      </c>
      <c r="Y39" s="3" t="str">
        <f aca="false">IF(ISBLANK(I39),"",ABS(I39-SUMIFS($I$2:$I$205,$A$2:$A$205,$A39,$B$2:$B$205,$B39,$C$2:$C$205,100)))</f>
        <v/>
      </c>
      <c r="Z39" s="3" t="str">
        <f aca="false">IF(ISBLANK(J39),"",ABS(J39-SUMIFS($J$2:$J$205,$A$2:$A$205,$A39,$B$2:$B$205,$B39,$C$2:$C$205,100)))</f>
        <v/>
      </c>
      <c r="AA39" s="3" t="str">
        <f aca="false">IF(ISBLANK(K39),"",ABS(K39-SUMIFS($K$2:$K$205,$A$2:$A$205,$A39,$B$2:$B$205,$B39,$C$2:$C$205,100)))</f>
        <v/>
      </c>
      <c r="AB39" s="3" t="str">
        <f aca="false">IF(ISBLANK(L39),"",ABS(L39-SUMIFS($L$2:$L$205,$A$2:$A$205,$A39,$B$2:$B$205,$B39,$C$2:$C$205,100)))</f>
        <v/>
      </c>
      <c r="AC39" s="3" t="str">
        <f aca="false">IF(ISBLANK(M39),"",ABS(M39-SUMIFS($M$2:$M$205,$A$2:$A$205,$A39,$B$2:$B$205,$B39,$C$2:$C$205,100)))</f>
        <v/>
      </c>
      <c r="AD39" s="3" t="str">
        <f aca="false">IF(ISBLANK(N39),"",ABS(N39-SUMIFS($N$2:$N$205,$A$2:$A$205,$A39,$B$2:$B$205,$B39,$C$2:$C$205,100)))</f>
        <v/>
      </c>
      <c r="AE39" s="3" t="str">
        <f aca="false">IF(ISBLANK(O39),"",ABS(O39-SUMIFS($O$2:$O$205,$A$2:$A$205,$A39,$B$2:$B$205,$B39,$C$2:$C$205,100)))</f>
        <v/>
      </c>
      <c r="AF39" s="3" t="str">
        <f aca="false">IF(ISBLANK(P39),"",ABS(P39-SUMIFS($P$2:$P$205,$A$2:$A$205,$A39,$B$2:$B$205,$B39,$C$2:$C$205,100)))</f>
        <v/>
      </c>
      <c r="AG39" s="3" t="str">
        <f aca="false">IF(ISBLANK(Q39),"",ABS(Q39-SUMIFS($Q$2:$Q$205,$A$2:$A$205,$A39,$B$2:$B$205,$B39,$C$2:$C$205,100)))</f>
        <v/>
      </c>
      <c r="AH39" s="3" t="str">
        <f aca="false">IF(ISBLANK(R39),"",ABS(R39-SUMIFS($R$2:$R$205,$A$2:$A$205,$A39,$B$2:$B$205,$B39,$C$2:$C$205,100)))</f>
        <v/>
      </c>
      <c r="AI39" s="3" t="str">
        <f aca="false">IF(ISBLANK(S39),"",ABS(S39-SUMIFS($S$2:$S$205,$A$2:$A$205,$A39,$B$2:$B$205,$B39,$C$2:$C$205,100)))</f>
        <v/>
      </c>
      <c r="AJ39" s="3" t="n">
        <f aca="false">MAX(V39:AI39)</f>
        <v>2.21506950559558E-008</v>
      </c>
    </row>
    <row r="40" customFormat="false" ht="15" hidden="false" customHeight="false" outlineLevel="0" collapsed="false">
      <c r="A40" s="2" t="s">
        <v>36</v>
      </c>
      <c r="B40" s="2" t="s">
        <v>41</v>
      </c>
      <c r="C40" s="2" t="n">
        <v>80</v>
      </c>
      <c r="D40" s="3" t="n">
        <v>-2.94480037466871</v>
      </c>
      <c r="E40" s="3" t="n">
        <v>-0.0832480099421926</v>
      </c>
      <c r="F40" s="3" t="n">
        <v>-0.901284341216676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n">
        <f aca="false">ABS(D40-SUMIFS($D$2:$D$205,$A$2:$A$205,$A40,$B$2:$B$205,$B40,$C$2:$C$205,100))</f>
        <v>3.4665923465127E-009</v>
      </c>
      <c r="U40" s="3" t="n">
        <f aca="false">ABS(E40-SUMIFS($E$2:$E$205,$A$2:$A$205,$A40,$B$2:$B$205,$B40,$C$2:$C$205,100))</f>
        <v>3.51913766183376E-009</v>
      </c>
      <c r="V40" s="3" t="n">
        <f aca="false">IF(ISBLANK(F40),"",ABS(F40-SUMIFS($F$2:$F$205,$A$2:$A$205,$A40,$B$2:$B$205,$B40,$C$2:$C$205,100)))</f>
        <v>1.17740472926897E-009</v>
      </c>
      <c r="W40" s="3" t="str">
        <f aca="false">IF(ISBLANK(G40),"",ABS(G40-SUMIFS($G$2:$G$205,$A$2:$A$205,$A40,$B$2:$B$205,$B40,$C$2:$C$205,100)))</f>
        <v/>
      </c>
      <c r="X40" s="3" t="str">
        <f aca="false">IF(ISBLANK(H40),"",ABS(H40-SUMIFS($H$2:$H$205,$A$2:$A$205,$A40,$B$2:$B$205,$B40,$C$2:$C$205,100)))</f>
        <v/>
      </c>
      <c r="Y40" s="3" t="str">
        <f aca="false">IF(ISBLANK(I40),"",ABS(I40-SUMIFS($I$2:$I$205,$A$2:$A$205,$A40,$B$2:$B$205,$B40,$C$2:$C$205,100)))</f>
        <v/>
      </c>
      <c r="Z40" s="3" t="str">
        <f aca="false">IF(ISBLANK(J40),"",ABS(J40-SUMIFS($J$2:$J$205,$A$2:$A$205,$A40,$B$2:$B$205,$B40,$C$2:$C$205,100)))</f>
        <v/>
      </c>
      <c r="AA40" s="3" t="str">
        <f aca="false">IF(ISBLANK(K40),"",ABS(K40-SUMIFS($K$2:$K$205,$A$2:$A$205,$A40,$B$2:$B$205,$B40,$C$2:$C$205,100)))</f>
        <v/>
      </c>
      <c r="AB40" s="3" t="str">
        <f aca="false">IF(ISBLANK(L40),"",ABS(L40-SUMIFS($L$2:$L$205,$A$2:$A$205,$A40,$B$2:$B$205,$B40,$C$2:$C$205,100)))</f>
        <v/>
      </c>
      <c r="AC40" s="3" t="str">
        <f aca="false">IF(ISBLANK(M40),"",ABS(M40-SUMIFS($M$2:$M$205,$A$2:$A$205,$A40,$B$2:$B$205,$B40,$C$2:$C$205,100)))</f>
        <v/>
      </c>
      <c r="AD40" s="3" t="str">
        <f aca="false">IF(ISBLANK(N40),"",ABS(N40-SUMIFS($N$2:$N$205,$A$2:$A$205,$A40,$B$2:$B$205,$B40,$C$2:$C$205,100)))</f>
        <v/>
      </c>
      <c r="AE40" s="3" t="str">
        <f aca="false">IF(ISBLANK(O40),"",ABS(O40-SUMIFS($O$2:$O$205,$A$2:$A$205,$A40,$B$2:$B$205,$B40,$C$2:$C$205,100)))</f>
        <v/>
      </c>
      <c r="AF40" s="3" t="str">
        <f aca="false">IF(ISBLANK(P40),"",ABS(P40-SUMIFS($P$2:$P$205,$A$2:$A$205,$A40,$B$2:$B$205,$B40,$C$2:$C$205,100)))</f>
        <v/>
      </c>
      <c r="AG40" s="3" t="str">
        <f aca="false">IF(ISBLANK(Q40),"",ABS(Q40-SUMIFS($Q$2:$Q$205,$A$2:$A$205,$A40,$B$2:$B$205,$B40,$C$2:$C$205,100)))</f>
        <v/>
      </c>
      <c r="AH40" s="3" t="str">
        <f aca="false">IF(ISBLANK(R40),"",ABS(R40-SUMIFS($R$2:$R$205,$A$2:$A$205,$A40,$B$2:$B$205,$B40,$C$2:$C$205,100)))</f>
        <v/>
      </c>
      <c r="AI40" s="3" t="str">
        <f aca="false">IF(ISBLANK(S40),"",ABS(S40-SUMIFS($S$2:$S$205,$A$2:$A$205,$A40,$B$2:$B$205,$B40,$C$2:$C$205,100)))</f>
        <v/>
      </c>
      <c r="AJ40" s="3" t="n">
        <f aca="false">MAX(V40:AI40)</f>
        <v>1.17740472926897E-009</v>
      </c>
    </row>
    <row r="41" customFormat="false" ht="15" hidden="false" customHeight="false" outlineLevel="0" collapsed="false">
      <c r="A41" s="4" t="s">
        <v>36</v>
      </c>
      <c r="B41" s="4" t="s">
        <v>41</v>
      </c>
      <c r="C41" s="4" t="n">
        <v>100</v>
      </c>
      <c r="D41" s="5" t="n">
        <v>-2.9448003781353</v>
      </c>
      <c r="E41" s="5" t="n">
        <v>-0.0832480134613302</v>
      </c>
      <c r="F41" s="3" t="n">
        <v>-0.901284342394081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n">
        <f aca="false">ABS(D41-SUMIFS($D$2:$D$205,$A$2:$A$205,$A41,$B$2:$B$205,$B41,$C$2:$C$205,100))</f>
        <v>0</v>
      </c>
      <c r="U41" s="3" t="n">
        <f aca="false">ABS(E41-SUMIFS($E$2:$E$205,$A$2:$A$205,$A41,$B$2:$B$205,$B41,$C$2:$C$205,100))</f>
        <v>0</v>
      </c>
      <c r="V41" s="3" t="n">
        <f aca="false">IF(ISBLANK(F41),"",ABS(F41-SUMIFS($F$2:$F$205,$A$2:$A$205,$A41,$B$2:$B$205,$B41,$C$2:$C$205,100)))</f>
        <v>0</v>
      </c>
      <c r="W41" s="3" t="str">
        <f aca="false">IF(ISBLANK(G41),"",ABS(G41-SUMIFS($G$2:$G$205,$A$2:$A$205,$A41,$B$2:$B$205,$B41,$C$2:$C$205,100)))</f>
        <v/>
      </c>
      <c r="X41" s="3" t="str">
        <f aca="false">IF(ISBLANK(H41),"",ABS(H41-SUMIFS($H$2:$H$205,$A$2:$A$205,$A41,$B$2:$B$205,$B41,$C$2:$C$205,100)))</f>
        <v/>
      </c>
      <c r="Y41" s="3" t="str">
        <f aca="false">IF(ISBLANK(I41),"",ABS(I41-SUMIFS($I$2:$I$205,$A$2:$A$205,$A41,$B$2:$B$205,$B41,$C$2:$C$205,100)))</f>
        <v/>
      </c>
      <c r="Z41" s="3" t="str">
        <f aca="false">IF(ISBLANK(J41),"",ABS(J41-SUMIFS($J$2:$J$205,$A$2:$A$205,$A41,$B$2:$B$205,$B41,$C$2:$C$205,100)))</f>
        <v/>
      </c>
      <c r="AA41" s="3" t="str">
        <f aca="false">IF(ISBLANK(K41),"",ABS(K41-SUMIFS($K$2:$K$205,$A$2:$A$205,$A41,$B$2:$B$205,$B41,$C$2:$C$205,100)))</f>
        <v/>
      </c>
      <c r="AB41" s="3" t="str">
        <f aca="false">IF(ISBLANK(L41),"",ABS(L41-SUMIFS($L$2:$L$205,$A$2:$A$205,$A41,$B$2:$B$205,$B41,$C$2:$C$205,100)))</f>
        <v/>
      </c>
      <c r="AC41" s="3" t="str">
        <f aca="false">IF(ISBLANK(M41),"",ABS(M41-SUMIFS($M$2:$M$205,$A$2:$A$205,$A41,$B$2:$B$205,$B41,$C$2:$C$205,100)))</f>
        <v/>
      </c>
      <c r="AD41" s="3" t="str">
        <f aca="false">IF(ISBLANK(N41),"",ABS(N41-SUMIFS($N$2:$N$205,$A$2:$A$205,$A41,$B$2:$B$205,$B41,$C$2:$C$205,100)))</f>
        <v/>
      </c>
      <c r="AE41" s="3" t="str">
        <f aca="false">IF(ISBLANK(O41),"",ABS(O41-SUMIFS($O$2:$O$205,$A$2:$A$205,$A41,$B$2:$B$205,$B41,$C$2:$C$205,100)))</f>
        <v/>
      </c>
      <c r="AF41" s="3" t="str">
        <f aca="false">IF(ISBLANK(P41),"",ABS(P41-SUMIFS($P$2:$P$205,$A$2:$A$205,$A41,$B$2:$B$205,$B41,$C$2:$C$205,100)))</f>
        <v/>
      </c>
      <c r="AG41" s="3" t="str">
        <f aca="false">IF(ISBLANK(Q41),"",ABS(Q41-SUMIFS($Q$2:$Q$205,$A$2:$A$205,$A41,$B$2:$B$205,$B41,$C$2:$C$205,100)))</f>
        <v/>
      </c>
      <c r="AH41" s="3" t="str">
        <f aca="false">IF(ISBLANK(R41),"",ABS(R41-SUMIFS($R$2:$R$205,$A$2:$A$205,$A41,$B$2:$B$205,$B41,$C$2:$C$205,100)))</f>
        <v/>
      </c>
      <c r="AI41" s="3" t="str">
        <f aca="false">IF(ISBLANK(S41),"",ABS(S41-SUMIFS($S$2:$S$205,$A$2:$A$205,$A41,$B$2:$B$205,$B41,$C$2:$C$205,100)))</f>
        <v/>
      </c>
      <c r="AJ41" s="3" t="n">
        <f aca="false">MAX(V41:AI41)</f>
        <v>0</v>
      </c>
    </row>
    <row r="42" customFormat="false" ht="15" hidden="false" customHeight="false" outlineLevel="0" collapsed="false">
      <c r="A42" s="2" t="s">
        <v>42</v>
      </c>
      <c r="B42" s="2" t="s">
        <v>37</v>
      </c>
      <c r="C42" s="2" t="n">
        <v>5</v>
      </c>
      <c r="D42" s="3" t="n">
        <v>-527.742462968972</v>
      </c>
      <c r="E42" s="3" t="n">
        <v>-0.935190833437927</v>
      </c>
      <c r="F42" s="3" t="n">
        <v>-114.448784125451</v>
      </c>
      <c r="G42" s="3" t="n">
        <v>-11.1206457811865</v>
      </c>
      <c r="H42" s="3" t="n">
        <v>-8.71483673637605</v>
      </c>
      <c r="I42" s="3" t="n">
        <v>-1.16122129289144</v>
      </c>
      <c r="J42" s="3" t="n">
        <v>-0.64846582493073</v>
      </c>
      <c r="K42" s="3"/>
      <c r="L42" s="3"/>
      <c r="M42" s="3"/>
      <c r="N42" s="3"/>
      <c r="O42" s="3"/>
      <c r="P42" s="3"/>
      <c r="Q42" s="3"/>
      <c r="R42" s="3"/>
      <c r="S42" s="3"/>
      <c r="T42" s="3" t="n">
        <f aca="false">ABS(D42-SUMIFS($D$2:$D$205,$A$2:$A$205,$A42,$B$2:$B$205,$B42,$C$2:$C$205,100))</f>
        <v>0.141941540289622</v>
      </c>
      <c r="U42" s="3" t="n">
        <f aca="false">ABS(E42-SUMIFS($E$2:$E$205,$A$2:$A$205,$A42,$B$2:$B$205,$B42,$C$2:$C$205,100))</f>
        <v>0.13864904061854</v>
      </c>
      <c r="V42" s="3" t="n">
        <f aca="false">IF(ISBLANK(F42),"",ABS(F42-SUMIFS($F$2:$F$205,$A$2:$A$205,$A42,$B$2:$B$205,$B42,$C$2:$C$205,100)))</f>
        <v>0.0257500014525078</v>
      </c>
      <c r="W42" s="3" t="n">
        <f aca="false">IF(ISBLANK(G42),"",ABS(G42-SUMIFS($G$2:$G$205,$A$2:$A$205,$A42,$B$2:$B$205,$B42,$C$2:$C$205,100)))</f>
        <v>0.0307314741836606</v>
      </c>
      <c r="X42" s="3" t="n">
        <f aca="false">IF(ISBLANK(H42),"",ABS(H42-SUMIFS($H$2:$H$205,$A$2:$A$205,$A42,$B$2:$B$205,$B42,$C$2:$C$205,100)))</f>
        <v>0.0211869750600524</v>
      </c>
      <c r="Y42" s="3" t="n">
        <f aca="false">IF(ISBLANK(I42),"",ABS(I42-SUMIFS($I$2:$I$205,$A$2:$A$205,$A42,$B$2:$B$205,$B42,$C$2:$C$205,100)))</f>
        <v>0.0655892148579571</v>
      </c>
      <c r="Z42" s="3" t="n">
        <f aca="false">IF(ISBLANK(J42),"",ABS(J42-SUMIFS($J$2:$J$205,$A$2:$A$205,$A42,$B$2:$B$205,$B42,$C$2:$C$205,100)))</f>
        <v>0.062574213251019</v>
      </c>
      <c r="AA42" s="3" t="str">
        <f aca="false">IF(ISBLANK(K42),"",ABS(K42-SUMIFS($K$2:$K$205,$A$2:$A$205,$A42,$B$2:$B$205,$B42,$C$2:$C$205,100)))</f>
        <v/>
      </c>
      <c r="AB42" s="3" t="str">
        <f aca="false">IF(ISBLANK(L42),"",ABS(L42-SUMIFS($L$2:$L$205,$A$2:$A$205,$A42,$B$2:$B$205,$B42,$C$2:$C$205,100)))</f>
        <v/>
      </c>
      <c r="AC42" s="3" t="str">
        <f aca="false">IF(ISBLANK(M42),"",ABS(M42-SUMIFS($M$2:$M$205,$A$2:$A$205,$A42,$B$2:$B$205,$B42,$C$2:$C$205,100)))</f>
        <v/>
      </c>
      <c r="AD42" s="3" t="str">
        <f aca="false">IF(ISBLANK(N42),"",ABS(N42-SUMIFS($N$2:$N$205,$A$2:$A$205,$A42,$B$2:$B$205,$B42,$C$2:$C$205,100)))</f>
        <v/>
      </c>
      <c r="AE42" s="3" t="str">
        <f aca="false">IF(ISBLANK(O42),"",ABS(O42-SUMIFS($O$2:$O$205,$A$2:$A$205,$A42,$B$2:$B$205,$B42,$C$2:$C$205,100)))</f>
        <v/>
      </c>
      <c r="AF42" s="3" t="str">
        <f aca="false">IF(ISBLANK(P42),"",ABS(P42-SUMIFS($P$2:$P$205,$A$2:$A$205,$A42,$B$2:$B$205,$B42,$C$2:$C$205,100)))</f>
        <v/>
      </c>
      <c r="AG42" s="3" t="str">
        <f aca="false">IF(ISBLANK(Q42),"",ABS(Q42-SUMIFS($Q$2:$Q$205,$A$2:$A$205,$A42,$B$2:$B$205,$B42,$C$2:$C$205,100)))</f>
        <v/>
      </c>
      <c r="AH42" s="3" t="str">
        <f aca="false">IF(ISBLANK(R42),"",ABS(R42-SUMIFS($R$2:$R$205,$A$2:$A$205,$A42,$B$2:$B$205,$B42,$C$2:$C$205,100)))</f>
        <v/>
      </c>
      <c r="AI42" s="3" t="str">
        <f aca="false">IF(ISBLANK(S42),"",ABS(S42-SUMIFS($S$2:$S$205,$A$2:$A$205,$A42,$B$2:$B$205,$B42,$C$2:$C$205,100)))</f>
        <v/>
      </c>
      <c r="AJ42" s="3" t="n">
        <f aca="false">MAX(V42:AI42)</f>
        <v>0.0655892148579571</v>
      </c>
    </row>
    <row r="43" customFormat="false" ht="15" hidden="false" customHeight="false" outlineLevel="0" collapsed="false">
      <c r="A43" s="2" t="s">
        <v>42</v>
      </c>
      <c r="B43" s="2" t="s">
        <v>37</v>
      </c>
      <c r="C43" s="2" t="n">
        <v>10</v>
      </c>
      <c r="D43" s="3" t="n">
        <v>-527.881268223763</v>
      </c>
      <c r="E43" s="3" t="n">
        <v>-1.07116916633135</v>
      </c>
      <c r="F43" s="3" t="n">
        <v>-114.522645864816</v>
      </c>
      <c r="G43" s="3" t="n">
        <v>-11.1954204941424</v>
      </c>
      <c r="H43" s="3" t="n">
        <v>-8.78088855427528</v>
      </c>
      <c r="I43" s="3" t="n">
        <v>-1.15336203128109</v>
      </c>
      <c r="J43" s="3" t="n">
        <v>-0.643110467499998</v>
      </c>
      <c r="K43" s="3"/>
      <c r="L43" s="3"/>
      <c r="M43" s="3"/>
      <c r="N43" s="3"/>
      <c r="O43" s="3"/>
      <c r="P43" s="3"/>
      <c r="Q43" s="3"/>
      <c r="R43" s="3"/>
      <c r="S43" s="3"/>
      <c r="T43" s="3" t="n">
        <f aca="false">ABS(D43-SUMIFS($D$2:$D$205,$A$2:$A$205,$A43,$B$2:$B$205,$B43,$C$2:$C$205,100))</f>
        <v>0.00313628549872647</v>
      </c>
      <c r="U43" s="3" t="n">
        <f aca="false">ABS(E43-SUMIFS($E$2:$E$205,$A$2:$A$205,$A43,$B$2:$B$205,$B43,$C$2:$C$205,100))</f>
        <v>0.00267070772512201</v>
      </c>
      <c r="V43" s="3" t="n">
        <f aca="false">IF(ISBLANK(F43),"",ABS(F43-SUMIFS($F$2:$F$205,$A$2:$A$205,$A43,$B$2:$B$205,$B43,$C$2:$C$205,100)))</f>
        <v>0.0481117379119951</v>
      </c>
      <c r="W43" s="3" t="n">
        <f aca="false">IF(ISBLANK(G43),"",ABS(G43-SUMIFS($G$2:$G$205,$A$2:$A$205,$A43,$B$2:$B$205,$B43,$C$2:$C$205,100)))</f>
        <v>0.0440432387722698</v>
      </c>
      <c r="X43" s="3" t="n">
        <f aca="false">IF(ISBLANK(H43),"",ABS(H43-SUMIFS($H$2:$H$205,$A$2:$A$205,$A43,$B$2:$B$205,$B43,$C$2:$C$205,100)))</f>
        <v>0.044864842839182</v>
      </c>
      <c r="Y43" s="3" t="n">
        <f aca="false">IF(ISBLANK(I43),"",ABS(I43-SUMIFS($I$2:$I$205,$A$2:$A$205,$A43,$B$2:$B$205,$B43,$C$2:$C$205,100)))</f>
        <v>0.057729953247607</v>
      </c>
      <c r="Z43" s="3" t="n">
        <f aca="false">IF(ISBLANK(J43),"",ABS(J43-SUMIFS($J$2:$J$205,$A$2:$A$205,$A43,$B$2:$B$205,$B43,$C$2:$C$205,100)))</f>
        <v>0.0572188558202873</v>
      </c>
      <c r="AA43" s="3" t="str">
        <f aca="false">IF(ISBLANK(K43),"",ABS(K43-SUMIFS($K$2:$K$205,$A$2:$A$205,$A43,$B$2:$B$205,$B43,$C$2:$C$205,100)))</f>
        <v/>
      </c>
      <c r="AB43" s="3" t="str">
        <f aca="false">IF(ISBLANK(L43),"",ABS(L43-SUMIFS($L$2:$L$205,$A$2:$A$205,$A43,$B$2:$B$205,$B43,$C$2:$C$205,100)))</f>
        <v/>
      </c>
      <c r="AC43" s="3" t="str">
        <f aca="false">IF(ISBLANK(M43),"",ABS(M43-SUMIFS($M$2:$M$205,$A$2:$A$205,$A43,$B$2:$B$205,$B43,$C$2:$C$205,100)))</f>
        <v/>
      </c>
      <c r="AD43" s="3" t="str">
        <f aca="false">IF(ISBLANK(N43),"",ABS(N43-SUMIFS($N$2:$N$205,$A$2:$A$205,$A43,$B$2:$B$205,$B43,$C$2:$C$205,100)))</f>
        <v/>
      </c>
      <c r="AE43" s="3" t="str">
        <f aca="false">IF(ISBLANK(O43),"",ABS(O43-SUMIFS($O$2:$O$205,$A$2:$A$205,$A43,$B$2:$B$205,$B43,$C$2:$C$205,100)))</f>
        <v/>
      </c>
      <c r="AF43" s="3" t="str">
        <f aca="false">IF(ISBLANK(P43),"",ABS(P43-SUMIFS($P$2:$P$205,$A$2:$A$205,$A43,$B$2:$B$205,$B43,$C$2:$C$205,100)))</f>
        <v/>
      </c>
      <c r="AG43" s="3" t="str">
        <f aca="false">IF(ISBLANK(Q43),"",ABS(Q43-SUMIFS($Q$2:$Q$205,$A$2:$A$205,$A43,$B$2:$B$205,$B43,$C$2:$C$205,100)))</f>
        <v/>
      </c>
      <c r="AH43" s="3" t="str">
        <f aca="false">IF(ISBLANK(R43),"",ABS(R43-SUMIFS($R$2:$R$205,$A$2:$A$205,$A43,$B$2:$B$205,$B43,$C$2:$C$205,100)))</f>
        <v/>
      </c>
      <c r="AI43" s="3" t="str">
        <f aca="false">IF(ISBLANK(S43),"",ABS(S43-SUMIFS($S$2:$S$205,$A$2:$A$205,$A43,$B$2:$B$205,$B43,$C$2:$C$205,100)))</f>
        <v/>
      </c>
      <c r="AJ43" s="3" t="n">
        <f aca="false">MAX(V43:AI43)</f>
        <v>0.057729953247607</v>
      </c>
    </row>
    <row r="44" customFormat="false" ht="15" hidden="false" customHeight="false" outlineLevel="0" collapsed="false">
      <c r="A44" s="2" t="s">
        <v>42</v>
      </c>
      <c r="B44" s="2" t="s">
        <v>37</v>
      </c>
      <c r="C44" s="2" t="n">
        <v>15</v>
      </c>
      <c r="D44" s="3" t="n">
        <v>-527.884163327274</v>
      </c>
      <c r="E44" s="3" t="n">
        <v>-1.07360672498884</v>
      </c>
      <c r="F44" s="3" t="n">
        <v>-114.575355506429</v>
      </c>
      <c r="G44" s="3" t="n">
        <v>-11.2525554348131</v>
      </c>
      <c r="H44" s="3" t="n">
        <v>-8.83710750368454</v>
      </c>
      <c r="I44" s="3" t="n">
        <v>-1.19813505401787</v>
      </c>
      <c r="J44" s="3" t="n">
        <v>-0.68841577320856</v>
      </c>
      <c r="K44" s="3"/>
      <c r="L44" s="3"/>
      <c r="M44" s="3"/>
      <c r="N44" s="3"/>
      <c r="O44" s="3"/>
      <c r="P44" s="3"/>
      <c r="Q44" s="3"/>
      <c r="R44" s="3"/>
      <c r="S44" s="3"/>
      <c r="T44" s="3" t="n">
        <f aca="false">ABS(D44-SUMIFS($D$2:$D$205,$A$2:$A$205,$A44,$B$2:$B$205,$B44,$C$2:$C$205,100))</f>
        <v>0.000241181987917116</v>
      </c>
      <c r="U44" s="3" t="n">
        <f aca="false">ABS(E44-SUMIFS($E$2:$E$205,$A$2:$A$205,$A44,$B$2:$B$205,$B44,$C$2:$C$205,100))</f>
        <v>0.000233149067627947</v>
      </c>
      <c r="V44" s="3" t="n">
        <f aca="false">IF(ISBLANK(F44),"",ABS(F44-SUMIFS($F$2:$F$205,$A$2:$A$205,$A44,$B$2:$B$205,$B44,$C$2:$C$205,100)))</f>
        <v>0.100821379525797</v>
      </c>
      <c r="W44" s="3" t="n">
        <f aca="false">IF(ISBLANK(G44),"",ABS(G44-SUMIFS($G$2:$G$205,$A$2:$A$205,$A44,$B$2:$B$205,$B44,$C$2:$C$205,100)))</f>
        <v>0.10117817944289</v>
      </c>
      <c r="X44" s="3" t="n">
        <f aca="false">IF(ISBLANK(H44),"",ABS(H44-SUMIFS($H$2:$H$205,$A$2:$A$205,$A44,$B$2:$B$205,$B44,$C$2:$C$205,100)))</f>
        <v>0.101083792248438</v>
      </c>
      <c r="Y44" s="3" t="n">
        <f aca="false">IF(ISBLANK(I44),"",ABS(I44-SUMIFS($I$2:$I$205,$A$2:$A$205,$A44,$B$2:$B$205,$B44,$C$2:$C$205,100)))</f>
        <v>0.102502975984389</v>
      </c>
      <c r="Z44" s="3" t="n">
        <f aca="false">IF(ISBLANK(J44),"",ABS(J44-SUMIFS($J$2:$J$205,$A$2:$A$205,$A44,$B$2:$B$205,$B44,$C$2:$C$205,100)))</f>
        <v>0.102524161528849</v>
      </c>
      <c r="AA44" s="3" t="str">
        <f aca="false">IF(ISBLANK(K44),"",ABS(K44-SUMIFS($K$2:$K$205,$A$2:$A$205,$A44,$B$2:$B$205,$B44,$C$2:$C$205,100)))</f>
        <v/>
      </c>
      <c r="AB44" s="3" t="str">
        <f aca="false">IF(ISBLANK(L44),"",ABS(L44-SUMIFS($L$2:$L$205,$A$2:$A$205,$A44,$B$2:$B$205,$B44,$C$2:$C$205,100)))</f>
        <v/>
      </c>
      <c r="AC44" s="3" t="str">
        <f aca="false">IF(ISBLANK(M44),"",ABS(M44-SUMIFS($M$2:$M$205,$A$2:$A$205,$A44,$B$2:$B$205,$B44,$C$2:$C$205,100)))</f>
        <v/>
      </c>
      <c r="AD44" s="3" t="str">
        <f aca="false">IF(ISBLANK(N44),"",ABS(N44-SUMIFS($N$2:$N$205,$A$2:$A$205,$A44,$B$2:$B$205,$B44,$C$2:$C$205,100)))</f>
        <v/>
      </c>
      <c r="AE44" s="3" t="str">
        <f aca="false">IF(ISBLANK(O44),"",ABS(O44-SUMIFS($O$2:$O$205,$A$2:$A$205,$A44,$B$2:$B$205,$B44,$C$2:$C$205,100)))</f>
        <v/>
      </c>
      <c r="AF44" s="3" t="str">
        <f aca="false">IF(ISBLANK(P44),"",ABS(P44-SUMIFS($P$2:$P$205,$A$2:$A$205,$A44,$B$2:$B$205,$B44,$C$2:$C$205,100)))</f>
        <v/>
      </c>
      <c r="AG44" s="3" t="str">
        <f aca="false">IF(ISBLANK(Q44),"",ABS(Q44-SUMIFS($Q$2:$Q$205,$A$2:$A$205,$A44,$B$2:$B$205,$B44,$C$2:$C$205,100)))</f>
        <v/>
      </c>
      <c r="AH44" s="3" t="str">
        <f aca="false">IF(ISBLANK(R44),"",ABS(R44-SUMIFS($R$2:$R$205,$A$2:$A$205,$A44,$B$2:$B$205,$B44,$C$2:$C$205,100)))</f>
        <v/>
      </c>
      <c r="AI44" s="3" t="str">
        <f aca="false">IF(ISBLANK(S44),"",ABS(S44-SUMIFS($S$2:$S$205,$A$2:$A$205,$A44,$B$2:$B$205,$B44,$C$2:$C$205,100)))</f>
        <v/>
      </c>
      <c r="AJ44" s="3" t="n">
        <f aca="false">MAX(V44:AI44)</f>
        <v>0.102524161528849</v>
      </c>
    </row>
    <row r="45" customFormat="false" ht="15" hidden="false" customHeight="false" outlineLevel="0" collapsed="false">
      <c r="A45" s="2" t="s">
        <v>42</v>
      </c>
      <c r="B45" s="2" t="s">
        <v>37</v>
      </c>
      <c r="C45" s="2" t="n">
        <v>20</v>
      </c>
      <c r="D45" s="3" t="n">
        <v>-527.884382144877</v>
      </c>
      <c r="E45" s="3" t="n">
        <v>-1.07381874572483</v>
      </c>
      <c r="F45" s="3" t="n">
        <v>-114.544651398103</v>
      </c>
      <c r="G45" s="3" t="n">
        <v>-11.2214320080285</v>
      </c>
      <c r="H45" s="3" t="n">
        <v>-8.80608365187846</v>
      </c>
      <c r="I45" s="3" t="n">
        <v>-1.16582836236925</v>
      </c>
      <c r="J45" s="3" t="n">
        <v>-0.656093800273097</v>
      </c>
      <c r="K45" s="3"/>
      <c r="L45" s="3"/>
      <c r="M45" s="3"/>
      <c r="N45" s="3"/>
      <c r="O45" s="3"/>
      <c r="P45" s="3"/>
      <c r="Q45" s="3"/>
      <c r="R45" s="3"/>
      <c r="S45" s="3"/>
      <c r="T45" s="3" t="n">
        <f aca="false">ABS(D45-SUMIFS($D$2:$D$205,$A$2:$A$205,$A45,$B$2:$B$205,$B45,$C$2:$C$205,100))</f>
        <v>2.23643849039945E-005</v>
      </c>
      <c r="U45" s="3" t="n">
        <f aca="false">ABS(E45-SUMIFS($E$2:$E$205,$A$2:$A$205,$A45,$B$2:$B$205,$B45,$C$2:$C$205,100))</f>
        <v>2.11283316409183E-005</v>
      </c>
      <c r="V45" s="3" t="n">
        <f aca="false">IF(ISBLANK(F45),"",ABS(F45-SUMIFS($F$2:$F$205,$A$2:$A$205,$A45,$B$2:$B$205,$B45,$C$2:$C$205,100)))</f>
        <v>0.0701172711996918</v>
      </c>
      <c r="W45" s="3" t="n">
        <f aca="false">IF(ISBLANK(G45),"",ABS(G45-SUMIFS($G$2:$G$205,$A$2:$A$205,$A45,$B$2:$B$205,$B45,$C$2:$C$205,100)))</f>
        <v>0.0700547526583701</v>
      </c>
      <c r="X45" s="3" t="n">
        <f aca="false">IF(ISBLANK(H45),"",ABS(H45-SUMIFS($H$2:$H$205,$A$2:$A$205,$A45,$B$2:$B$205,$B45,$C$2:$C$205,100)))</f>
        <v>0.0700599404423539</v>
      </c>
      <c r="Y45" s="3" t="n">
        <f aca="false">IF(ISBLANK(I45),"",ABS(I45-SUMIFS($I$2:$I$205,$A$2:$A$205,$A45,$B$2:$B$205,$B45,$C$2:$C$205,100)))</f>
        <v>0.070196284335766</v>
      </c>
      <c r="Z45" s="3" t="n">
        <f aca="false">IF(ISBLANK(J45),"",ABS(J45-SUMIFS($J$2:$J$205,$A$2:$A$205,$A45,$B$2:$B$205,$B45,$C$2:$C$205,100)))</f>
        <v>0.0702021885933868</v>
      </c>
      <c r="AA45" s="3" t="str">
        <f aca="false">IF(ISBLANK(K45),"",ABS(K45-SUMIFS($K$2:$K$205,$A$2:$A$205,$A45,$B$2:$B$205,$B45,$C$2:$C$205,100)))</f>
        <v/>
      </c>
      <c r="AB45" s="3" t="str">
        <f aca="false">IF(ISBLANK(L45),"",ABS(L45-SUMIFS($L$2:$L$205,$A$2:$A$205,$A45,$B$2:$B$205,$B45,$C$2:$C$205,100)))</f>
        <v/>
      </c>
      <c r="AC45" s="3" t="str">
        <f aca="false">IF(ISBLANK(M45),"",ABS(M45-SUMIFS($M$2:$M$205,$A$2:$A$205,$A45,$B$2:$B$205,$B45,$C$2:$C$205,100)))</f>
        <v/>
      </c>
      <c r="AD45" s="3" t="str">
        <f aca="false">IF(ISBLANK(N45),"",ABS(N45-SUMIFS($N$2:$N$205,$A$2:$A$205,$A45,$B$2:$B$205,$B45,$C$2:$C$205,100)))</f>
        <v/>
      </c>
      <c r="AE45" s="3" t="str">
        <f aca="false">IF(ISBLANK(O45),"",ABS(O45-SUMIFS($O$2:$O$205,$A$2:$A$205,$A45,$B$2:$B$205,$B45,$C$2:$C$205,100)))</f>
        <v/>
      </c>
      <c r="AF45" s="3" t="str">
        <f aca="false">IF(ISBLANK(P45),"",ABS(P45-SUMIFS($P$2:$P$205,$A$2:$A$205,$A45,$B$2:$B$205,$B45,$C$2:$C$205,100)))</f>
        <v/>
      </c>
      <c r="AG45" s="3" t="str">
        <f aca="false">IF(ISBLANK(Q45),"",ABS(Q45-SUMIFS($Q$2:$Q$205,$A$2:$A$205,$A45,$B$2:$B$205,$B45,$C$2:$C$205,100)))</f>
        <v/>
      </c>
      <c r="AH45" s="3" t="str">
        <f aca="false">IF(ISBLANK(R45),"",ABS(R45-SUMIFS($R$2:$R$205,$A$2:$A$205,$A45,$B$2:$B$205,$B45,$C$2:$C$205,100)))</f>
        <v/>
      </c>
      <c r="AI45" s="3" t="str">
        <f aca="false">IF(ISBLANK(S45),"",ABS(S45-SUMIFS($S$2:$S$205,$A$2:$A$205,$A45,$B$2:$B$205,$B45,$C$2:$C$205,100)))</f>
        <v/>
      </c>
      <c r="AJ45" s="3" t="n">
        <f aca="false">MAX(V45:AI45)</f>
        <v>0.0702021885933868</v>
      </c>
    </row>
    <row r="46" customFormat="false" ht="15" hidden="false" customHeight="false" outlineLevel="0" collapsed="false">
      <c r="A46" s="2" t="s">
        <v>42</v>
      </c>
      <c r="B46" s="2" t="s">
        <v>37</v>
      </c>
      <c r="C46" s="2" t="n">
        <v>30</v>
      </c>
      <c r="D46" s="3" t="n">
        <v>-527.884404508548</v>
      </c>
      <c r="E46" s="3" t="n">
        <v>-1.0738398680409</v>
      </c>
      <c r="F46" s="3" t="n">
        <v>-114.47810003695</v>
      </c>
      <c r="G46" s="3" t="n">
        <v>-11.1549430826512</v>
      </c>
      <c r="H46" s="3" t="n">
        <v>-8.73958955013104</v>
      </c>
      <c r="I46" s="3" t="n">
        <v>-1.09919932603255</v>
      </c>
      <c r="J46" s="3" t="n">
        <v>-0.58945879158392</v>
      </c>
      <c r="K46" s="3"/>
      <c r="L46" s="3"/>
      <c r="M46" s="3"/>
      <c r="N46" s="3"/>
      <c r="O46" s="3"/>
      <c r="P46" s="3"/>
      <c r="Q46" s="3"/>
      <c r="R46" s="3"/>
      <c r="S46" s="3"/>
      <c r="T46" s="3" t="n">
        <f aca="false">ABS(D46-SUMIFS($D$2:$D$205,$A$2:$A$205,$A46,$B$2:$B$205,$B46,$C$2:$C$205,100))</f>
        <v>7.13725967216305E-010</v>
      </c>
      <c r="U46" s="3" t="n">
        <f aca="false">ABS(E46-SUMIFS($E$2:$E$205,$A$2:$A$205,$A46,$B$2:$B$205,$B46,$C$2:$C$205,100))</f>
        <v>6.01556404689063E-009</v>
      </c>
      <c r="V46" s="3" t="n">
        <f aca="false">IF(ISBLANK(F46),"",ABS(F46-SUMIFS($F$2:$F$205,$A$2:$A$205,$A46,$B$2:$B$205,$B46,$C$2:$C$205,100)))</f>
        <v>0.00356591004648976</v>
      </c>
      <c r="W46" s="3" t="n">
        <f aca="false">IF(ISBLANK(G46),"",ABS(G46-SUMIFS($G$2:$G$205,$A$2:$A$205,$A46,$B$2:$B$205,$B46,$C$2:$C$205,100)))</f>
        <v>0.00356582728106858</v>
      </c>
      <c r="X46" s="3" t="n">
        <f aca="false">IF(ISBLANK(H46),"",ABS(H46-SUMIFS($H$2:$H$205,$A$2:$A$205,$A46,$B$2:$B$205,$B46,$C$2:$C$205,100)))</f>
        <v>0.00356583869493399</v>
      </c>
      <c r="Y46" s="3" t="n">
        <f aca="false">IF(ISBLANK(I46),"",ABS(I46-SUMIFS($I$2:$I$205,$A$2:$A$205,$A46,$B$2:$B$205,$B46,$C$2:$C$205,100)))</f>
        <v>0.00356724799906605</v>
      </c>
      <c r="Z46" s="3" t="n">
        <f aca="false">IF(ISBLANK(J46),"",ABS(J46-SUMIFS($J$2:$J$205,$A$2:$A$205,$A46,$B$2:$B$205,$B46,$C$2:$C$205,100)))</f>
        <v>0.00356717990420918</v>
      </c>
      <c r="AA46" s="3" t="str">
        <f aca="false">IF(ISBLANK(K46),"",ABS(K46-SUMIFS($K$2:$K$205,$A$2:$A$205,$A46,$B$2:$B$205,$B46,$C$2:$C$205,100)))</f>
        <v/>
      </c>
      <c r="AB46" s="3" t="str">
        <f aca="false">IF(ISBLANK(L46),"",ABS(L46-SUMIFS($L$2:$L$205,$A$2:$A$205,$A46,$B$2:$B$205,$B46,$C$2:$C$205,100)))</f>
        <v/>
      </c>
      <c r="AC46" s="3" t="str">
        <f aca="false">IF(ISBLANK(M46),"",ABS(M46-SUMIFS($M$2:$M$205,$A$2:$A$205,$A46,$B$2:$B$205,$B46,$C$2:$C$205,100)))</f>
        <v/>
      </c>
      <c r="AD46" s="3" t="str">
        <f aca="false">IF(ISBLANK(N46),"",ABS(N46-SUMIFS($N$2:$N$205,$A$2:$A$205,$A46,$B$2:$B$205,$B46,$C$2:$C$205,100)))</f>
        <v/>
      </c>
      <c r="AE46" s="3" t="str">
        <f aca="false">IF(ISBLANK(O46),"",ABS(O46-SUMIFS($O$2:$O$205,$A$2:$A$205,$A46,$B$2:$B$205,$B46,$C$2:$C$205,100)))</f>
        <v/>
      </c>
      <c r="AF46" s="3" t="str">
        <f aca="false">IF(ISBLANK(P46),"",ABS(P46-SUMIFS($P$2:$P$205,$A$2:$A$205,$A46,$B$2:$B$205,$B46,$C$2:$C$205,100)))</f>
        <v/>
      </c>
      <c r="AG46" s="3" t="str">
        <f aca="false">IF(ISBLANK(Q46),"",ABS(Q46-SUMIFS($Q$2:$Q$205,$A$2:$A$205,$A46,$B$2:$B$205,$B46,$C$2:$C$205,100)))</f>
        <v/>
      </c>
      <c r="AH46" s="3" t="str">
        <f aca="false">IF(ISBLANK(R46),"",ABS(R46-SUMIFS($R$2:$R$205,$A$2:$A$205,$A46,$B$2:$B$205,$B46,$C$2:$C$205,100)))</f>
        <v/>
      </c>
      <c r="AI46" s="3" t="str">
        <f aca="false">IF(ISBLANK(S46),"",ABS(S46-SUMIFS($S$2:$S$205,$A$2:$A$205,$A46,$B$2:$B$205,$B46,$C$2:$C$205,100)))</f>
        <v/>
      </c>
      <c r="AJ46" s="3" t="n">
        <f aca="false">MAX(V46:AI46)</f>
        <v>0.00356724799906605</v>
      </c>
    </row>
    <row r="47" customFormat="false" ht="15" hidden="false" customHeight="false" outlineLevel="0" collapsed="false">
      <c r="A47" s="2" t="s">
        <v>42</v>
      </c>
      <c r="B47" s="2" t="s">
        <v>37</v>
      </c>
      <c r="C47" s="2" t="n">
        <v>50</v>
      </c>
      <c r="D47" s="3" t="n">
        <v>-527.88440450926</v>
      </c>
      <c r="E47" s="3" t="n">
        <v>-1.07383987405332</v>
      </c>
      <c r="F47" s="3" t="n">
        <v>-114.474536035751</v>
      </c>
      <c r="G47" s="3" t="n">
        <v>-11.1513791642176</v>
      </c>
      <c r="H47" s="3" t="n">
        <v>-8.73602561982963</v>
      </c>
      <c r="I47" s="3" t="n">
        <v>-1.09563398688096</v>
      </c>
      <c r="J47" s="3" t="n">
        <v>-0.585893520658158</v>
      </c>
      <c r="K47" s="3"/>
      <c r="L47" s="3"/>
      <c r="M47" s="3"/>
      <c r="N47" s="3"/>
      <c r="O47" s="3"/>
      <c r="P47" s="3"/>
      <c r="Q47" s="3"/>
      <c r="R47" s="3"/>
      <c r="S47" s="3"/>
      <c r="T47" s="3" t="n">
        <f aca="false">ABS(D47-SUMIFS($D$2:$D$205,$A$2:$A$205,$A47,$B$2:$B$205,$B47,$C$2:$C$205,100))</f>
        <v>2.1600499167107E-012</v>
      </c>
      <c r="U47" s="3" t="n">
        <f aca="false">ABS(E47-SUMIFS($E$2:$E$205,$A$2:$A$205,$A47,$B$2:$B$205,$B47,$C$2:$C$205,100))</f>
        <v>3.14792636402217E-012</v>
      </c>
      <c r="V47" s="3" t="n">
        <f aca="false">IF(ISBLANK(F47),"",ABS(F47-SUMIFS($F$2:$F$205,$A$2:$A$205,$A47,$B$2:$B$205,$B47,$C$2:$C$205,100)))</f>
        <v>1.90884739481589E-006</v>
      </c>
      <c r="W47" s="3" t="n">
        <f aca="false">IF(ISBLANK(G47),"",ABS(G47-SUMIFS($G$2:$G$205,$A$2:$A$205,$A47,$B$2:$B$205,$B47,$C$2:$C$205,100)))</f>
        <v>1.90884748008102E-006</v>
      </c>
      <c r="X47" s="3" t="n">
        <f aca="false">IF(ISBLANK(H47),"",ABS(H47-SUMIFS($H$2:$H$205,$A$2:$A$205,$A47,$B$2:$B$205,$B47,$C$2:$C$205,100)))</f>
        <v>1.90839353209071E-006</v>
      </c>
      <c r="Y47" s="3" t="n">
        <f aca="false">IF(ISBLANK(I47),"",ABS(I47-SUMIFS($I$2:$I$205,$A$2:$A$205,$A47,$B$2:$B$205,$B47,$C$2:$C$205,100)))</f>
        <v>1.90884748008102E-006</v>
      </c>
      <c r="Z47" s="3" t="n">
        <f aca="false">IF(ISBLANK(J47),"",ABS(J47-SUMIFS($J$2:$J$205,$A$2:$A$205,$A47,$B$2:$B$205,$B47,$C$2:$C$205,100)))</f>
        <v>1.90897844731808E-006</v>
      </c>
      <c r="AA47" s="3" t="str">
        <f aca="false">IF(ISBLANK(K47),"",ABS(K47-SUMIFS($K$2:$K$205,$A$2:$A$205,$A47,$B$2:$B$205,$B47,$C$2:$C$205,100)))</f>
        <v/>
      </c>
      <c r="AB47" s="3" t="str">
        <f aca="false">IF(ISBLANK(L47),"",ABS(L47-SUMIFS($L$2:$L$205,$A$2:$A$205,$A47,$B$2:$B$205,$B47,$C$2:$C$205,100)))</f>
        <v/>
      </c>
      <c r="AC47" s="3" t="str">
        <f aca="false">IF(ISBLANK(M47),"",ABS(M47-SUMIFS($M$2:$M$205,$A$2:$A$205,$A47,$B$2:$B$205,$B47,$C$2:$C$205,100)))</f>
        <v/>
      </c>
      <c r="AD47" s="3" t="str">
        <f aca="false">IF(ISBLANK(N47),"",ABS(N47-SUMIFS($N$2:$N$205,$A$2:$A$205,$A47,$B$2:$B$205,$B47,$C$2:$C$205,100)))</f>
        <v/>
      </c>
      <c r="AE47" s="3" t="str">
        <f aca="false">IF(ISBLANK(O47),"",ABS(O47-SUMIFS($O$2:$O$205,$A$2:$A$205,$A47,$B$2:$B$205,$B47,$C$2:$C$205,100)))</f>
        <v/>
      </c>
      <c r="AF47" s="3" t="str">
        <f aca="false">IF(ISBLANK(P47),"",ABS(P47-SUMIFS($P$2:$P$205,$A$2:$A$205,$A47,$B$2:$B$205,$B47,$C$2:$C$205,100)))</f>
        <v/>
      </c>
      <c r="AG47" s="3" t="str">
        <f aca="false">IF(ISBLANK(Q47),"",ABS(Q47-SUMIFS($Q$2:$Q$205,$A$2:$A$205,$A47,$B$2:$B$205,$B47,$C$2:$C$205,100)))</f>
        <v/>
      </c>
      <c r="AH47" s="3" t="str">
        <f aca="false">IF(ISBLANK(R47),"",ABS(R47-SUMIFS($R$2:$R$205,$A$2:$A$205,$A47,$B$2:$B$205,$B47,$C$2:$C$205,100)))</f>
        <v/>
      </c>
      <c r="AI47" s="3" t="str">
        <f aca="false">IF(ISBLANK(S47),"",ABS(S47-SUMIFS($S$2:$S$205,$A$2:$A$205,$A47,$B$2:$B$205,$B47,$C$2:$C$205,100)))</f>
        <v/>
      </c>
      <c r="AJ47" s="3" t="n">
        <f aca="false">MAX(V47:AI47)</f>
        <v>1.90897844731808E-006</v>
      </c>
    </row>
    <row r="48" customFormat="false" ht="15" hidden="false" customHeight="false" outlineLevel="0" collapsed="false">
      <c r="A48" s="2" t="s">
        <v>42</v>
      </c>
      <c r="B48" s="2" t="s">
        <v>37</v>
      </c>
      <c r="C48" s="2" t="n">
        <v>80</v>
      </c>
      <c r="D48" s="3" t="n">
        <v>-527.884404509262</v>
      </c>
      <c r="E48" s="3" t="n">
        <v>-1.07383987405656</v>
      </c>
      <c r="F48" s="3" t="n">
        <v>-114.474534127002</v>
      </c>
      <c r="G48" s="3" t="n">
        <v>-11.1513772554691</v>
      </c>
      <c r="H48" s="3" t="n">
        <v>-8.7360237114361</v>
      </c>
      <c r="I48" s="3" t="n">
        <v>-1.09563207784431</v>
      </c>
      <c r="J48" s="3" t="n">
        <v>-0.585891611679711</v>
      </c>
      <c r="K48" s="3"/>
      <c r="L48" s="3"/>
      <c r="M48" s="3"/>
      <c r="N48" s="3"/>
      <c r="O48" s="3"/>
      <c r="P48" s="3"/>
      <c r="Q48" s="3"/>
      <c r="R48" s="3"/>
      <c r="S48" s="3"/>
      <c r="T48" s="3" t="n">
        <f aca="false">ABS(D48-SUMIFS($D$2:$D$205,$A$2:$A$205,$A48,$B$2:$B$205,$B48,$C$2:$C$205,100))</f>
        <v>0</v>
      </c>
      <c r="U48" s="3" t="n">
        <f aca="false">ABS(E48-SUMIFS($E$2:$E$205,$A$2:$A$205,$A48,$B$2:$B$205,$B48,$C$2:$C$205,100))</f>
        <v>9.70334923522387E-014</v>
      </c>
      <c r="V48" s="3" t="n">
        <f aca="false">IF(ISBLANK(F48),"",ABS(F48-SUMIFS($F$2:$F$205,$A$2:$A$205,$A48,$B$2:$B$205,$B48,$C$2:$C$205,100)))</f>
        <v>9.87938619800843E-011</v>
      </c>
      <c r="W48" s="3" t="n">
        <f aca="false">IF(ISBLANK(G48),"",ABS(G48-SUMIFS($G$2:$G$205,$A$2:$A$205,$A48,$B$2:$B$205,$B48,$C$2:$C$205,100)))</f>
        <v>9.88897852494119E-011</v>
      </c>
      <c r="X48" s="3" t="n">
        <f aca="false">IF(ISBLANK(H48),"",ABS(H48-SUMIFS($H$2:$H$205,$A$2:$A$205,$A48,$B$2:$B$205,$B48,$C$2:$C$205,100)))</f>
        <v>0</v>
      </c>
      <c r="Y48" s="3" t="n">
        <f aca="false">IF(ISBLANK(I48),"",ABS(I48-SUMIFS($I$2:$I$205,$A$2:$A$205,$A48,$B$2:$B$205,$B48,$C$2:$C$205,100)))</f>
        <v>1.89174897968769E-010</v>
      </c>
      <c r="Z48" s="3" t="n">
        <f aca="false">IF(ISBLANK(J48),"",ABS(J48-SUMIFS($J$2:$J$205,$A$2:$A$205,$A48,$B$2:$B$205,$B48,$C$2:$C$205,100)))</f>
        <v>0</v>
      </c>
      <c r="AA48" s="3" t="str">
        <f aca="false">IF(ISBLANK(K48),"",ABS(K48-SUMIFS($K$2:$K$205,$A$2:$A$205,$A48,$B$2:$B$205,$B48,$C$2:$C$205,100)))</f>
        <v/>
      </c>
      <c r="AB48" s="3" t="str">
        <f aca="false">IF(ISBLANK(L48),"",ABS(L48-SUMIFS($L$2:$L$205,$A$2:$A$205,$A48,$B$2:$B$205,$B48,$C$2:$C$205,100)))</f>
        <v/>
      </c>
      <c r="AC48" s="3" t="str">
        <f aca="false">IF(ISBLANK(M48),"",ABS(M48-SUMIFS($M$2:$M$205,$A$2:$A$205,$A48,$B$2:$B$205,$B48,$C$2:$C$205,100)))</f>
        <v/>
      </c>
      <c r="AD48" s="3" t="str">
        <f aca="false">IF(ISBLANK(N48),"",ABS(N48-SUMIFS($N$2:$N$205,$A$2:$A$205,$A48,$B$2:$B$205,$B48,$C$2:$C$205,100)))</f>
        <v/>
      </c>
      <c r="AE48" s="3" t="str">
        <f aca="false">IF(ISBLANK(O48),"",ABS(O48-SUMIFS($O$2:$O$205,$A$2:$A$205,$A48,$B$2:$B$205,$B48,$C$2:$C$205,100)))</f>
        <v/>
      </c>
      <c r="AF48" s="3" t="str">
        <f aca="false">IF(ISBLANK(P48),"",ABS(P48-SUMIFS($P$2:$P$205,$A$2:$A$205,$A48,$B$2:$B$205,$B48,$C$2:$C$205,100)))</f>
        <v/>
      </c>
      <c r="AG48" s="3" t="str">
        <f aca="false">IF(ISBLANK(Q48),"",ABS(Q48-SUMIFS($Q$2:$Q$205,$A$2:$A$205,$A48,$B$2:$B$205,$B48,$C$2:$C$205,100)))</f>
        <v/>
      </c>
      <c r="AH48" s="3" t="str">
        <f aca="false">IF(ISBLANK(R48),"",ABS(R48-SUMIFS($R$2:$R$205,$A$2:$A$205,$A48,$B$2:$B$205,$B48,$C$2:$C$205,100)))</f>
        <v/>
      </c>
      <c r="AI48" s="3" t="str">
        <f aca="false">IF(ISBLANK(S48),"",ABS(S48-SUMIFS($S$2:$S$205,$A$2:$A$205,$A48,$B$2:$B$205,$B48,$C$2:$C$205,100)))</f>
        <v/>
      </c>
      <c r="AJ48" s="3" t="n">
        <f aca="false">MAX(V48:AI48)</f>
        <v>1.89174897968769E-010</v>
      </c>
    </row>
    <row r="49" customFormat="false" ht="15" hidden="false" customHeight="false" outlineLevel="0" collapsed="false">
      <c r="A49" s="4" t="s">
        <v>42</v>
      </c>
      <c r="B49" s="4" t="s">
        <v>37</v>
      </c>
      <c r="C49" s="4" t="n">
        <v>100</v>
      </c>
      <c r="D49" s="5" t="n">
        <v>-527.884404509262</v>
      </c>
      <c r="E49" s="5" t="n">
        <v>-1.07383987405647</v>
      </c>
      <c r="F49" s="3" t="n">
        <v>-114.474534126904</v>
      </c>
      <c r="G49" s="3" t="n">
        <v>-11.1513772553702</v>
      </c>
      <c r="H49" s="3" t="n">
        <v>-8.7360237114361</v>
      </c>
      <c r="I49" s="3" t="n">
        <v>-1.09563207803348</v>
      </c>
      <c r="J49" s="3" t="n">
        <v>-0.585891611679711</v>
      </c>
      <c r="K49" s="3"/>
      <c r="L49" s="3"/>
      <c r="M49" s="3"/>
      <c r="N49" s="3"/>
      <c r="O49" s="3"/>
      <c r="P49" s="3"/>
      <c r="Q49" s="3"/>
      <c r="R49" s="3"/>
      <c r="S49" s="3"/>
      <c r="T49" s="3" t="n">
        <f aca="false">ABS(D49-SUMIFS($D$2:$D$205,$A$2:$A$205,$A49,$B$2:$B$205,$B49,$C$2:$C$205,100))</f>
        <v>0</v>
      </c>
      <c r="U49" s="3" t="n">
        <f aca="false">ABS(E49-SUMIFS($E$2:$E$205,$A$2:$A$205,$A49,$B$2:$B$205,$B49,$C$2:$C$205,100))</f>
        <v>0</v>
      </c>
      <c r="V49" s="3" t="n">
        <f aca="false">IF(ISBLANK(F49),"",ABS(F49-SUMIFS($F$2:$F$205,$A$2:$A$205,$A49,$B$2:$B$205,$B49,$C$2:$C$205,100)))</f>
        <v>0</v>
      </c>
      <c r="W49" s="3" t="n">
        <f aca="false">IF(ISBLANK(G49),"",ABS(G49-SUMIFS($G$2:$G$205,$A$2:$A$205,$A49,$B$2:$B$205,$B49,$C$2:$C$205,100)))</f>
        <v>0</v>
      </c>
      <c r="X49" s="3" t="n">
        <f aca="false">IF(ISBLANK(H49),"",ABS(H49-SUMIFS($H$2:$H$205,$A$2:$A$205,$A49,$B$2:$B$205,$B49,$C$2:$C$205,100)))</f>
        <v>0</v>
      </c>
      <c r="Y49" s="3" t="n">
        <f aca="false">IF(ISBLANK(I49),"",ABS(I49-SUMIFS($I$2:$I$205,$A$2:$A$205,$A49,$B$2:$B$205,$B49,$C$2:$C$205,100)))</f>
        <v>0</v>
      </c>
      <c r="Z49" s="3" t="n">
        <f aca="false">IF(ISBLANK(J49),"",ABS(J49-SUMIFS($J$2:$J$205,$A$2:$A$205,$A49,$B$2:$B$205,$B49,$C$2:$C$205,100)))</f>
        <v>0</v>
      </c>
      <c r="AA49" s="3" t="str">
        <f aca="false">IF(ISBLANK(K49),"",ABS(K49-SUMIFS($K$2:$K$205,$A$2:$A$205,$A49,$B$2:$B$205,$B49,$C$2:$C$205,100)))</f>
        <v/>
      </c>
      <c r="AB49" s="3" t="str">
        <f aca="false">IF(ISBLANK(L49),"",ABS(L49-SUMIFS($L$2:$L$205,$A$2:$A$205,$A49,$B$2:$B$205,$B49,$C$2:$C$205,100)))</f>
        <v/>
      </c>
      <c r="AC49" s="3" t="str">
        <f aca="false">IF(ISBLANK(M49),"",ABS(M49-SUMIFS($M$2:$M$205,$A$2:$A$205,$A49,$B$2:$B$205,$B49,$C$2:$C$205,100)))</f>
        <v/>
      </c>
      <c r="AD49" s="3" t="str">
        <f aca="false">IF(ISBLANK(N49),"",ABS(N49-SUMIFS($N$2:$N$205,$A$2:$A$205,$A49,$B$2:$B$205,$B49,$C$2:$C$205,100)))</f>
        <v/>
      </c>
      <c r="AE49" s="3" t="str">
        <f aca="false">IF(ISBLANK(O49),"",ABS(O49-SUMIFS($O$2:$O$205,$A$2:$A$205,$A49,$B$2:$B$205,$B49,$C$2:$C$205,100)))</f>
        <v/>
      </c>
      <c r="AF49" s="3" t="str">
        <f aca="false">IF(ISBLANK(P49),"",ABS(P49-SUMIFS($P$2:$P$205,$A$2:$A$205,$A49,$B$2:$B$205,$B49,$C$2:$C$205,100)))</f>
        <v/>
      </c>
      <c r="AG49" s="3" t="str">
        <f aca="false">IF(ISBLANK(Q49),"",ABS(Q49-SUMIFS($Q$2:$Q$205,$A$2:$A$205,$A49,$B$2:$B$205,$B49,$C$2:$C$205,100)))</f>
        <v/>
      </c>
      <c r="AH49" s="3" t="str">
        <f aca="false">IF(ISBLANK(R49),"",ABS(R49-SUMIFS($R$2:$R$205,$A$2:$A$205,$A49,$B$2:$B$205,$B49,$C$2:$C$205,100)))</f>
        <v/>
      </c>
      <c r="AI49" s="3" t="str">
        <f aca="false">IF(ISBLANK(S49),"",ABS(S49-SUMIFS($S$2:$S$205,$A$2:$A$205,$A49,$B$2:$B$205,$B49,$C$2:$C$205,100)))</f>
        <v/>
      </c>
      <c r="AJ49" s="3" t="n">
        <f aca="false">MAX(V49:AI49)</f>
        <v>0</v>
      </c>
    </row>
    <row r="50" customFormat="false" ht="15" hidden="false" customHeight="false" outlineLevel="0" collapsed="false">
      <c r="A50" s="2" t="s">
        <v>42</v>
      </c>
      <c r="B50" s="2" t="s">
        <v>37</v>
      </c>
      <c r="C50" s="2" t="n">
        <v>150</v>
      </c>
      <c r="D50" s="3" t="n">
        <v>-527.884404509261</v>
      </c>
      <c r="E50" s="3" t="n">
        <v>-1.07383987405663</v>
      </c>
      <c r="F50" s="3" t="n">
        <v>-114.474534127025</v>
      </c>
      <c r="G50" s="3" t="n">
        <v>-11.1513772554918</v>
      </c>
      <c r="H50" s="3" t="n">
        <v>-8.7360237114361</v>
      </c>
      <c r="I50" s="3" t="n">
        <v>-1.09563207786706</v>
      </c>
      <c r="J50" s="3" t="n">
        <v>-0.585891611679711</v>
      </c>
      <c r="K50" s="3"/>
      <c r="L50" s="3"/>
      <c r="M50" s="3"/>
      <c r="N50" s="3"/>
      <c r="O50" s="3"/>
      <c r="P50" s="3"/>
      <c r="Q50" s="3"/>
      <c r="R50" s="3"/>
      <c r="S50" s="3"/>
      <c r="T50" s="3" t="n">
        <f aca="false">ABS(D50-SUMIFS($D$2:$D$205,$A$2:$A$205,$A50,$B$2:$B$205,$B50,$C$2:$C$205,100))</f>
        <v>0</v>
      </c>
      <c r="U50" s="3" t="n">
        <f aca="false">ABS(E50-SUMIFS($E$2:$E$205,$A$2:$A$205,$A50,$B$2:$B$205,$B50,$C$2:$C$205,100))</f>
        <v>1.66089364483923E-013</v>
      </c>
      <c r="V50" s="3" t="n">
        <f aca="false">IF(ISBLANK(F50),"",ABS(F50-SUMIFS($F$2:$F$205,$A$2:$A$205,$A50,$B$2:$B$205,$B50,$C$2:$C$205,100)))</f>
        <v>1.21588072943268E-010</v>
      </c>
      <c r="W50" s="3" t="n">
        <f aca="false">IF(ISBLANK(G50),"",ABS(G50-SUMIFS($G$2:$G$205,$A$2:$A$205,$A50,$B$2:$B$205,$B50,$C$2:$C$205,100)))</f>
        <v>1.21639587291611E-010</v>
      </c>
      <c r="X50" s="3" t="n">
        <f aca="false">IF(ISBLANK(H50),"",ABS(H50-SUMIFS($H$2:$H$205,$A$2:$A$205,$A50,$B$2:$B$205,$B50,$C$2:$C$205,100)))</f>
        <v>0</v>
      </c>
      <c r="Y50" s="3" t="n">
        <f aca="false">IF(ISBLANK(I50),"",ABS(I50-SUMIFS($I$2:$I$205,$A$2:$A$205,$A50,$B$2:$B$205,$B50,$C$2:$C$205,100)))</f>
        <v>1.66424873881965E-010</v>
      </c>
      <c r="Z50" s="3" t="n">
        <f aca="false">IF(ISBLANK(J50),"",ABS(J50-SUMIFS($J$2:$J$205,$A$2:$A$205,$A50,$B$2:$B$205,$B50,$C$2:$C$205,100)))</f>
        <v>0</v>
      </c>
      <c r="AA50" s="3" t="str">
        <f aca="false">IF(ISBLANK(K50),"",ABS(K50-SUMIFS($K$2:$K$205,$A$2:$A$205,$A50,$B$2:$B$205,$B50,$C$2:$C$205,100)))</f>
        <v/>
      </c>
      <c r="AB50" s="3" t="str">
        <f aca="false">IF(ISBLANK(L50),"",ABS(L50-SUMIFS($L$2:$L$205,$A$2:$A$205,$A50,$B$2:$B$205,$B50,$C$2:$C$205,100)))</f>
        <v/>
      </c>
      <c r="AC50" s="3" t="str">
        <f aca="false">IF(ISBLANK(M50),"",ABS(M50-SUMIFS($M$2:$M$205,$A$2:$A$205,$A50,$B$2:$B$205,$B50,$C$2:$C$205,100)))</f>
        <v/>
      </c>
      <c r="AD50" s="3" t="str">
        <f aca="false">IF(ISBLANK(N50),"",ABS(N50-SUMIFS($N$2:$N$205,$A$2:$A$205,$A50,$B$2:$B$205,$B50,$C$2:$C$205,100)))</f>
        <v/>
      </c>
      <c r="AE50" s="3" t="str">
        <f aca="false">IF(ISBLANK(O50),"",ABS(O50-SUMIFS($O$2:$O$205,$A$2:$A$205,$A50,$B$2:$B$205,$B50,$C$2:$C$205,100)))</f>
        <v/>
      </c>
      <c r="AF50" s="3" t="str">
        <f aca="false">IF(ISBLANK(P50),"",ABS(P50-SUMIFS($P$2:$P$205,$A$2:$A$205,$A50,$B$2:$B$205,$B50,$C$2:$C$205,100)))</f>
        <v/>
      </c>
      <c r="AG50" s="3" t="str">
        <f aca="false">IF(ISBLANK(Q50),"",ABS(Q50-SUMIFS($Q$2:$Q$205,$A$2:$A$205,$A50,$B$2:$B$205,$B50,$C$2:$C$205,100)))</f>
        <v/>
      </c>
      <c r="AH50" s="3" t="str">
        <f aca="false">IF(ISBLANK(R50),"",ABS(R50-SUMIFS($R$2:$R$205,$A$2:$A$205,$A50,$B$2:$B$205,$B50,$C$2:$C$205,100)))</f>
        <v/>
      </c>
      <c r="AI50" s="3" t="str">
        <f aca="false">IF(ISBLANK(S50),"",ABS(S50-SUMIFS($S$2:$S$205,$A$2:$A$205,$A50,$B$2:$B$205,$B50,$C$2:$C$205,100)))</f>
        <v/>
      </c>
      <c r="AJ50" s="3" t="n">
        <f aca="false">MAX(V50:AI50)</f>
        <v>1.66424873881965E-010</v>
      </c>
    </row>
    <row r="51" customFormat="false" ht="15" hidden="false" customHeight="false" outlineLevel="0" collapsed="false">
      <c r="A51" s="2" t="s">
        <v>42</v>
      </c>
      <c r="B51" s="2" t="s">
        <v>38</v>
      </c>
      <c r="C51" s="2" t="n">
        <v>5</v>
      </c>
      <c r="D51" s="3" t="n">
        <v>-527.957854463532</v>
      </c>
      <c r="E51" s="3" t="n">
        <v>-1.15115479345347</v>
      </c>
      <c r="F51" s="3" t="n">
        <v>-114.146255225815</v>
      </c>
      <c r="G51" s="3" t="n">
        <v>-10.8613474555558</v>
      </c>
      <c r="H51" s="3" t="n">
        <v>-8.44544858907529</v>
      </c>
      <c r="I51" s="3" t="n">
        <v>-0.690764768039054</v>
      </c>
      <c r="J51" s="3" t="n">
        <v>-0.183239859697902</v>
      </c>
      <c r="K51" s="3"/>
      <c r="L51" s="3"/>
      <c r="M51" s="3"/>
      <c r="N51" s="3"/>
      <c r="O51" s="3"/>
      <c r="P51" s="3"/>
      <c r="Q51" s="3"/>
      <c r="R51" s="3"/>
      <c r="S51" s="3"/>
      <c r="T51" s="3" t="n">
        <f aca="false">ABS(D51-SUMIFS($D$2:$D$205,$A$2:$A$205,$A51,$B$2:$B$205,$B51,$C$2:$C$205,100))</f>
        <v>0.0734499542709273</v>
      </c>
      <c r="U51" s="3" t="n">
        <f aca="false">ABS(E51-SUMIFS($E$2:$E$205,$A$2:$A$205,$A51,$B$2:$B$205,$B51,$C$2:$C$205,100))</f>
        <v>0.0773149193970091</v>
      </c>
      <c r="V51" s="3" t="n">
        <f aca="false">IF(ISBLANK(F51),"",ABS(F51-SUMIFS($F$2:$F$205,$A$2:$A$205,$A51,$B$2:$B$205,$B51,$C$2:$C$205,100)))</f>
        <v>0.328278901265207</v>
      </c>
      <c r="W51" s="3" t="n">
        <f aca="false">IF(ISBLANK(G51),"",ABS(G51-SUMIFS($G$2:$G$205,$A$2:$A$205,$A51,$B$2:$B$205,$B51,$C$2:$C$205,100)))</f>
        <v>0.29002979999122</v>
      </c>
      <c r="X51" s="3" t="n">
        <f aca="false">IF(ISBLANK(H51),"",ABS(H51-SUMIFS($H$2:$H$205,$A$2:$A$205,$A51,$B$2:$B$205,$B51,$C$2:$C$205,100)))</f>
        <v>0.290575121834106</v>
      </c>
      <c r="Y51" s="3" t="n">
        <f aca="false">IF(ISBLANK(I51),"",ABS(I51-SUMIFS($I$2:$I$205,$A$2:$A$205,$A51,$B$2:$B$205,$B51,$C$2:$C$205,100)))</f>
        <v>0.404867309883237</v>
      </c>
      <c r="Z51" s="3" t="n">
        <f aca="false">IF(ISBLANK(J51),"",ABS(J51-SUMIFS($J$2:$J$205,$A$2:$A$205,$A51,$B$2:$B$205,$B51,$C$2:$C$205,100)))</f>
        <v>0.402651752040016</v>
      </c>
      <c r="AA51" s="3" t="str">
        <f aca="false">IF(ISBLANK(K51),"",ABS(K51-SUMIFS($K$2:$K$205,$A$2:$A$205,$A51,$B$2:$B$205,$B51,$C$2:$C$205,100)))</f>
        <v/>
      </c>
      <c r="AB51" s="3" t="str">
        <f aca="false">IF(ISBLANK(L51),"",ABS(L51-SUMIFS($L$2:$L$205,$A$2:$A$205,$A51,$B$2:$B$205,$B51,$C$2:$C$205,100)))</f>
        <v/>
      </c>
      <c r="AC51" s="3" t="str">
        <f aca="false">IF(ISBLANK(M51),"",ABS(M51-SUMIFS($M$2:$M$205,$A$2:$A$205,$A51,$B$2:$B$205,$B51,$C$2:$C$205,100)))</f>
        <v/>
      </c>
      <c r="AD51" s="3" t="str">
        <f aca="false">IF(ISBLANK(N51),"",ABS(N51-SUMIFS($N$2:$N$205,$A$2:$A$205,$A51,$B$2:$B$205,$B51,$C$2:$C$205,100)))</f>
        <v/>
      </c>
      <c r="AE51" s="3" t="str">
        <f aca="false">IF(ISBLANK(O51),"",ABS(O51-SUMIFS($O$2:$O$205,$A$2:$A$205,$A51,$B$2:$B$205,$B51,$C$2:$C$205,100)))</f>
        <v/>
      </c>
      <c r="AF51" s="3" t="str">
        <f aca="false">IF(ISBLANK(P51),"",ABS(P51-SUMIFS($P$2:$P$205,$A$2:$A$205,$A51,$B$2:$B$205,$B51,$C$2:$C$205,100)))</f>
        <v/>
      </c>
      <c r="AG51" s="3" t="str">
        <f aca="false">IF(ISBLANK(Q51),"",ABS(Q51-SUMIFS($Q$2:$Q$205,$A$2:$A$205,$A51,$B$2:$B$205,$B51,$C$2:$C$205,100)))</f>
        <v/>
      </c>
      <c r="AH51" s="3" t="str">
        <f aca="false">IF(ISBLANK(R51),"",ABS(R51-SUMIFS($R$2:$R$205,$A$2:$A$205,$A51,$B$2:$B$205,$B51,$C$2:$C$205,100)))</f>
        <v/>
      </c>
      <c r="AI51" s="3" t="str">
        <f aca="false">IF(ISBLANK(S51),"",ABS(S51-SUMIFS($S$2:$S$205,$A$2:$A$205,$A51,$B$2:$B$205,$B51,$C$2:$C$205,100)))</f>
        <v/>
      </c>
      <c r="AJ51" s="3" t="n">
        <f aca="false">MAX(V51:AI51)</f>
        <v>0.404867309883237</v>
      </c>
    </row>
    <row r="52" customFormat="false" ht="15" hidden="false" customHeight="false" outlineLevel="0" collapsed="false">
      <c r="A52" s="2" t="s">
        <v>42</v>
      </c>
      <c r="B52" s="2" t="s">
        <v>38</v>
      </c>
      <c r="C52" s="2" t="n">
        <v>10</v>
      </c>
      <c r="D52" s="3" t="n">
        <v>-527.889449281333</v>
      </c>
      <c r="E52" s="3" t="n">
        <v>-1.07893696482404</v>
      </c>
      <c r="F52" s="3" t="n">
        <v>-114.283898652259</v>
      </c>
      <c r="G52" s="3" t="n">
        <v>-10.957440581782</v>
      </c>
      <c r="H52" s="3" t="n">
        <v>-8.54255848297726</v>
      </c>
      <c r="I52" s="3" t="n">
        <v>-0.891726162889476</v>
      </c>
      <c r="J52" s="3" t="n">
        <v>-0.381893505479253</v>
      </c>
      <c r="K52" s="3"/>
      <c r="L52" s="3"/>
      <c r="M52" s="3"/>
      <c r="N52" s="3"/>
      <c r="O52" s="3"/>
      <c r="P52" s="3"/>
      <c r="Q52" s="3"/>
      <c r="R52" s="3"/>
      <c r="S52" s="3"/>
      <c r="T52" s="3" t="n">
        <f aca="false">ABS(D52-SUMIFS($D$2:$D$205,$A$2:$A$205,$A52,$B$2:$B$205,$B52,$C$2:$C$205,100))</f>
        <v>0.00504477207198306</v>
      </c>
      <c r="U52" s="3" t="n">
        <f aca="false">ABS(E52-SUMIFS($E$2:$E$205,$A$2:$A$205,$A52,$B$2:$B$205,$B52,$C$2:$C$205,100))</f>
        <v>0.00509709076758202</v>
      </c>
      <c r="V52" s="3" t="n">
        <f aca="false">IF(ISBLANK(F52),"",ABS(F52-SUMIFS($F$2:$F$205,$A$2:$A$205,$A52,$B$2:$B$205,$B52,$C$2:$C$205,100)))</f>
        <v>0.190635474821505</v>
      </c>
      <c r="W52" s="3" t="n">
        <f aca="false">IF(ISBLANK(G52),"",ABS(G52-SUMIFS($G$2:$G$205,$A$2:$A$205,$A52,$B$2:$B$205,$B52,$C$2:$C$205,100)))</f>
        <v>0.193936673765061</v>
      </c>
      <c r="X52" s="3" t="n">
        <f aca="false">IF(ISBLANK(H52),"",ABS(H52-SUMIFS($H$2:$H$205,$A$2:$A$205,$A52,$B$2:$B$205,$B52,$C$2:$C$205,100)))</f>
        <v>0.193465227932132</v>
      </c>
      <c r="Y52" s="3" t="n">
        <f aca="false">IF(ISBLANK(I52),"",ABS(I52-SUMIFS($I$2:$I$205,$A$2:$A$205,$A52,$B$2:$B$205,$B52,$C$2:$C$205,100)))</f>
        <v>0.203905915032815</v>
      </c>
      <c r="Z52" s="3" t="n">
        <f aca="false">IF(ISBLANK(J52),"",ABS(J52-SUMIFS($J$2:$J$205,$A$2:$A$205,$A52,$B$2:$B$205,$B52,$C$2:$C$205,100)))</f>
        <v>0.203998106258665</v>
      </c>
      <c r="AA52" s="3" t="str">
        <f aca="false">IF(ISBLANK(K52),"",ABS(K52-SUMIFS($K$2:$K$205,$A$2:$A$205,$A52,$B$2:$B$205,$B52,$C$2:$C$205,100)))</f>
        <v/>
      </c>
      <c r="AB52" s="3" t="str">
        <f aca="false">IF(ISBLANK(L52),"",ABS(L52-SUMIFS($L$2:$L$205,$A$2:$A$205,$A52,$B$2:$B$205,$B52,$C$2:$C$205,100)))</f>
        <v/>
      </c>
      <c r="AC52" s="3" t="str">
        <f aca="false">IF(ISBLANK(M52),"",ABS(M52-SUMIFS($M$2:$M$205,$A$2:$A$205,$A52,$B$2:$B$205,$B52,$C$2:$C$205,100)))</f>
        <v/>
      </c>
      <c r="AD52" s="3" t="str">
        <f aca="false">IF(ISBLANK(N52),"",ABS(N52-SUMIFS($N$2:$N$205,$A$2:$A$205,$A52,$B$2:$B$205,$B52,$C$2:$C$205,100)))</f>
        <v/>
      </c>
      <c r="AE52" s="3" t="str">
        <f aca="false">IF(ISBLANK(O52),"",ABS(O52-SUMIFS($O$2:$O$205,$A$2:$A$205,$A52,$B$2:$B$205,$B52,$C$2:$C$205,100)))</f>
        <v/>
      </c>
      <c r="AF52" s="3" t="str">
        <f aca="false">IF(ISBLANK(P52),"",ABS(P52-SUMIFS($P$2:$P$205,$A$2:$A$205,$A52,$B$2:$B$205,$B52,$C$2:$C$205,100)))</f>
        <v/>
      </c>
      <c r="AG52" s="3" t="str">
        <f aca="false">IF(ISBLANK(Q52),"",ABS(Q52-SUMIFS($Q$2:$Q$205,$A$2:$A$205,$A52,$B$2:$B$205,$B52,$C$2:$C$205,100)))</f>
        <v/>
      </c>
      <c r="AH52" s="3" t="str">
        <f aca="false">IF(ISBLANK(R52),"",ABS(R52-SUMIFS($R$2:$R$205,$A$2:$A$205,$A52,$B$2:$B$205,$B52,$C$2:$C$205,100)))</f>
        <v/>
      </c>
      <c r="AI52" s="3" t="str">
        <f aca="false">IF(ISBLANK(S52),"",ABS(S52-SUMIFS($S$2:$S$205,$A$2:$A$205,$A52,$B$2:$B$205,$B52,$C$2:$C$205,100)))</f>
        <v/>
      </c>
      <c r="AJ52" s="3" t="n">
        <f aca="false">MAX(V52:AI52)</f>
        <v>0.203998106258665</v>
      </c>
    </row>
    <row r="53" customFormat="false" ht="15" hidden="false" customHeight="false" outlineLevel="0" collapsed="false">
      <c r="A53" s="2" t="s">
        <v>42</v>
      </c>
      <c r="B53" s="2" t="s">
        <v>38</v>
      </c>
      <c r="C53" s="2" t="n">
        <v>15</v>
      </c>
      <c r="D53" s="3" t="n">
        <v>-527.884786735683</v>
      </c>
      <c r="E53" s="3" t="n">
        <v>-1.07425357714996</v>
      </c>
      <c r="F53" s="3" t="n">
        <v>-114.359090778437</v>
      </c>
      <c r="G53" s="3" t="n">
        <v>-11.0362684934415</v>
      </c>
      <c r="H53" s="3" t="n">
        <v>-8.62108982775576</v>
      </c>
      <c r="I53" s="3" t="n">
        <v>-0.978737861445052</v>
      </c>
      <c r="J53" s="3" t="n">
        <v>-0.468915784243811</v>
      </c>
      <c r="K53" s="3"/>
      <c r="L53" s="3"/>
      <c r="M53" s="3"/>
      <c r="N53" s="3"/>
      <c r="O53" s="3"/>
      <c r="P53" s="3"/>
      <c r="Q53" s="3"/>
      <c r="R53" s="3"/>
      <c r="S53" s="3"/>
      <c r="T53" s="3" t="n">
        <f aca="false">ABS(D53-SUMIFS($D$2:$D$205,$A$2:$A$205,$A53,$B$2:$B$205,$B53,$C$2:$C$205,100))</f>
        <v>0.000382226421379528</v>
      </c>
      <c r="U53" s="3" t="n">
        <f aca="false">ABS(E53-SUMIFS($E$2:$E$205,$A$2:$A$205,$A53,$B$2:$B$205,$B53,$C$2:$C$205,100))</f>
        <v>0.000413703093500972</v>
      </c>
      <c r="V53" s="3" t="n">
        <f aca="false">IF(ISBLANK(F53),"",ABS(F53-SUMIFS($F$2:$F$205,$A$2:$A$205,$A53,$B$2:$B$205,$B53,$C$2:$C$205,100)))</f>
        <v>0.115443348642998</v>
      </c>
      <c r="W53" s="3" t="n">
        <f aca="false">IF(ISBLANK(G53),"",ABS(G53-SUMIFS($G$2:$G$205,$A$2:$A$205,$A53,$B$2:$B$205,$B53,$C$2:$C$205,100)))</f>
        <v>0.115108762105582</v>
      </c>
      <c r="X53" s="3" t="n">
        <f aca="false">IF(ISBLANK(H53),"",ABS(H53-SUMIFS($H$2:$H$205,$A$2:$A$205,$A53,$B$2:$B$205,$B53,$C$2:$C$205,100)))</f>
        <v>0.114933883153638</v>
      </c>
      <c r="Y53" s="3" t="n">
        <f aca="false">IF(ISBLANK(I53),"",ABS(I53-SUMIFS($I$2:$I$205,$A$2:$A$205,$A53,$B$2:$B$205,$B53,$C$2:$C$205,100)))</f>
        <v>0.116894216477239</v>
      </c>
      <c r="Z53" s="3" t="n">
        <f aca="false">IF(ISBLANK(J53),"",ABS(J53-SUMIFS($J$2:$J$205,$A$2:$A$205,$A53,$B$2:$B$205,$B53,$C$2:$C$205,100)))</f>
        <v>0.116975827494108</v>
      </c>
      <c r="AA53" s="3" t="str">
        <f aca="false">IF(ISBLANK(K53),"",ABS(K53-SUMIFS($K$2:$K$205,$A$2:$A$205,$A53,$B$2:$B$205,$B53,$C$2:$C$205,100)))</f>
        <v/>
      </c>
      <c r="AB53" s="3" t="str">
        <f aca="false">IF(ISBLANK(L53),"",ABS(L53-SUMIFS($L$2:$L$205,$A$2:$A$205,$A53,$B$2:$B$205,$B53,$C$2:$C$205,100)))</f>
        <v/>
      </c>
      <c r="AC53" s="3" t="str">
        <f aca="false">IF(ISBLANK(M53),"",ABS(M53-SUMIFS($M$2:$M$205,$A$2:$A$205,$A53,$B$2:$B$205,$B53,$C$2:$C$205,100)))</f>
        <v/>
      </c>
      <c r="AD53" s="3" t="str">
        <f aca="false">IF(ISBLANK(N53),"",ABS(N53-SUMIFS($N$2:$N$205,$A$2:$A$205,$A53,$B$2:$B$205,$B53,$C$2:$C$205,100)))</f>
        <v/>
      </c>
      <c r="AE53" s="3" t="str">
        <f aca="false">IF(ISBLANK(O53),"",ABS(O53-SUMIFS($O$2:$O$205,$A$2:$A$205,$A53,$B$2:$B$205,$B53,$C$2:$C$205,100)))</f>
        <v/>
      </c>
      <c r="AF53" s="3" t="str">
        <f aca="false">IF(ISBLANK(P53),"",ABS(P53-SUMIFS($P$2:$P$205,$A$2:$A$205,$A53,$B$2:$B$205,$B53,$C$2:$C$205,100)))</f>
        <v/>
      </c>
      <c r="AG53" s="3" t="str">
        <f aca="false">IF(ISBLANK(Q53),"",ABS(Q53-SUMIFS($Q$2:$Q$205,$A$2:$A$205,$A53,$B$2:$B$205,$B53,$C$2:$C$205,100)))</f>
        <v/>
      </c>
      <c r="AH53" s="3" t="str">
        <f aca="false">IF(ISBLANK(R53),"",ABS(R53-SUMIFS($R$2:$R$205,$A$2:$A$205,$A53,$B$2:$B$205,$B53,$C$2:$C$205,100)))</f>
        <v/>
      </c>
      <c r="AI53" s="3" t="str">
        <f aca="false">IF(ISBLANK(S53),"",ABS(S53-SUMIFS($S$2:$S$205,$A$2:$A$205,$A53,$B$2:$B$205,$B53,$C$2:$C$205,100)))</f>
        <v/>
      </c>
      <c r="AJ53" s="3" t="n">
        <f aca="false">MAX(V53:AI53)</f>
        <v>0.116975827494108</v>
      </c>
    </row>
    <row r="54" customFormat="false" ht="15" hidden="false" customHeight="false" outlineLevel="0" collapsed="false">
      <c r="A54" s="2" t="s">
        <v>42</v>
      </c>
      <c r="B54" s="2" t="s">
        <v>38</v>
      </c>
      <c r="C54" s="2" t="n">
        <v>20</v>
      </c>
      <c r="D54" s="3" t="n">
        <v>-527.884447412494</v>
      </c>
      <c r="E54" s="3" t="n">
        <v>-1.07388234742816</v>
      </c>
      <c r="F54" s="3" t="n">
        <v>-114.397637456132</v>
      </c>
      <c r="G54" s="3" t="n">
        <v>-11.0745798907562</v>
      </c>
      <c r="H54" s="3" t="n">
        <v>-8.65921937488548</v>
      </c>
      <c r="I54" s="3" t="n">
        <v>-1.01862490826347</v>
      </c>
      <c r="J54" s="3" t="n">
        <v>-0.50887485101014</v>
      </c>
      <c r="K54" s="3"/>
      <c r="L54" s="3"/>
      <c r="M54" s="3"/>
      <c r="N54" s="3"/>
      <c r="O54" s="3"/>
      <c r="P54" s="3"/>
      <c r="Q54" s="3"/>
      <c r="R54" s="3"/>
      <c r="S54" s="3"/>
      <c r="T54" s="3" t="n">
        <f aca="false">ABS(D54-SUMIFS($D$2:$D$205,$A$2:$A$205,$A54,$B$2:$B$205,$B54,$C$2:$C$205,100))</f>
        <v>4.29032323836509E-005</v>
      </c>
      <c r="U54" s="3" t="n">
        <f aca="false">ABS(E54-SUMIFS($E$2:$E$205,$A$2:$A$205,$A54,$B$2:$B$205,$B54,$C$2:$C$205,100))</f>
        <v>4.24733716959391E-005</v>
      </c>
      <c r="V54" s="3" t="n">
        <f aca="false">IF(ISBLANK(F54),"",ABS(F54-SUMIFS($F$2:$F$205,$A$2:$A$205,$A54,$B$2:$B$205,$B54,$C$2:$C$205,100)))</f>
        <v>0.0768966709480026</v>
      </c>
      <c r="W54" s="3" t="n">
        <f aca="false">IF(ISBLANK(G54),"",ABS(G54-SUMIFS($G$2:$G$205,$A$2:$A$205,$A54,$B$2:$B$205,$B54,$C$2:$C$205,100)))</f>
        <v>0.0767973647908615</v>
      </c>
      <c r="X54" s="3" t="n">
        <f aca="false">IF(ISBLANK(H54),"",ABS(H54-SUMIFS($H$2:$H$205,$A$2:$A$205,$A54,$B$2:$B$205,$B54,$C$2:$C$205,100)))</f>
        <v>0.0768043360239119</v>
      </c>
      <c r="Y54" s="3" t="n">
        <f aca="false">IF(ISBLANK(I54),"",ABS(I54-SUMIFS($I$2:$I$205,$A$2:$A$205,$A54,$B$2:$B$205,$B54,$C$2:$C$205,100)))</f>
        <v>0.077007169658819</v>
      </c>
      <c r="Z54" s="3" t="n">
        <f aca="false">IF(ISBLANK(J54),"",ABS(J54-SUMIFS($J$2:$J$205,$A$2:$A$205,$A54,$B$2:$B$205,$B54,$C$2:$C$205,100)))</f>
        <v>0.0770167607277783</v>
      </c>
      <c r="AA54" s="3" t="str">
        <f aca="false">IF(ISBLANK(K54),"",ABS(K54-SUMIFS($K$2:$K$205,$A$2:$A$205,$A54,$B$2:$B$205,$B54,$C$2:$C$205,100)))</f>
        <v/>
      </c>
      <c r="AB54" s="3" t="str">
        <f aca="false">IF(ISBLANK(L54),"",ABS(L54-SUMIFS($L$2:$L$205,$A$2:$A$205,$A54,$B$2:$B$205,$B54,$C$2:$C$205,100)))</f>
        <v/>
      </c>
      <c r="AC54" s="3" t="str">
        <f aca="false">IF(ISBLANK(M54),"",ABS(M54-SUMIFS($M$2:$M$205,$A$2:$A$205,$A54,$B$2:$B$205,$B54,$C$2:$C$205,100)))</f>
        <v/>
      </c>
      <c r="AD54" s="3" t="str">
        <f aca="false">IF(ISBLANK(N54),"",ABS(N54-SUMIFS($N$2:$N$205,$A$2:$A$205,$A54,$B$2:$B$205,$B54,$C$2:$C$205,100)))</f>
        <v/>
      </c>
      <c r="AE54" s="3" t="str">
        <f aca="false">IF(ISBLANK(O54),"",ABS(O54-SUMIFS($O$2:$O$205,$A$2:$A$205,$A54,$B$2:$B$205,$B54,$C$2:$C$205,100)))</f>
        <v/>
      </c>
      <c r="AF54" s="3" t="str">
        <f aca="false">IF(ISBLANK(P54),"",ABS(P54-SUMIFS($P$2:$P$205,$A$2:$A$205,$A54,$B$2:$B$205,$B54,$C$2:$C$205,100)))</f>
        <v/>
      </c>
      <c r="AG54" s="3" t="str">
        <f aca="false">IF(ISBLANK(Q54),"",ABS(Q54-SUMIFS($Q$2:$Q$205,$A$2:$A$205,$A54,$B$2:$B$205,$B54,$C$2:$C$205,100)))</f>
        <v/>
      </c>
      <c r="AH54" s="3" t="str">
        <f aca="false">IF(ISBLANK(R54),"",ABS(R54-SUMIFS($R$2:$R$205,$A$2:$A$205,$A54,$B$2:$B$205,$B54,$C$2:$C$205,100)))</f>
        <v/>
      </c>
      <c r="AI54" s="3" t="str">
        <f aca="false">IF(ISBLANK(S54),"",ABS(S54-SUMIFS($S$2:$S$205,$A$2:$A$205,$A54,$B$2:$B$205,$B54,$C$2:$C$205,100)))</f>
        <v/>
      </c>
      <c r="AJ54" s="3" t="n">
        <f aca="false">MAX(V54:AI54)</f>
        <v>0.0770167607277783</v>
      </c>
    </row>
    <row r="55" customFormat="false" ht="15" hidden="false" customHeight="false" outlineLevel="0" collapsed="false">
      <c r="A55" s="2" t="s">
        <v>42</v>
      </c>
      <c r="B55" s="2" t="s">
        <v>38</v>
      </c>
      <c r="C55" s="2" t="n">
        <v>30</v>
      </c>
      <c r="D55" s="3" t="n">
        <v>-527.884404431271</v>
      </c>
      <c r="E55" s="3" t="n">
        <v>-1.07383979447557</v>
      </c>
      <c r="F55" s="3" t="n">
        <v>-114.468077164802</v>
      </c>
      <c r="G55" s="3" t="n">
        <v>-11.1449209584547</v>
      </c>
      <c r="H55" s="3" t="n">
        <v>-8.72956743082554</v>
      </c>
      <c r="I55" s="3" t="n">
        <v>-1.08917468302638</v>
      </c>
      <c r="J55" s="3" t="n">
        <v>-0.579434325017222</v>
      </c>
      <c r="K55" s="3"/>
      <c r="L55" s="3"/>
      <c r="M55" s="3"/>
      <c r="N55" s="3"/>
      <c r="O55" s="3"/>
      <c r="P55" s="3"/>
      <c r="Q55" s="3"/>
      <c r="R55" s="3"/>
      <c r="S55" s="3"/>
      <c r="T55" s="3" t="n">
        <f aca="false">ABS(D55-SUMIFS($D$2:$D$205,$A$2:$A$205,$A55,$B$2:$B$205,$B55,$C$2:$C$205,100))</f>
        <v>7.7990648605919E-008</v>
      </c>
      <c r="U55" s="3" t="n">
        <f aca="false">ABS(E55-SUMIFS($E$2:$E$205,$A$2:$A$205,$A55,$B$2:$B$205,$B55,$C$2:$C$205,100))</f>
        <v>7.95808849929358E-008</v>
      </c>
      <c r="V55" s="3" t="n">
        <f aca="false">IF(ISBLANK(F55),"",ABS(F55-SUMIFS($F$2:$F$205,$A$2:$A$205,$A55,$B$2:$B$205,$B55,$C$2:$C$205,100)))</f>
        <v>0.00645696227800841</v>
      </c>
      <c r="W55" s="3" t="n">
        <f aca="false">IF(ISBLANK(G55),"",ABS(G55-SUMIFS($G$2:$G$205,$A$2:$A$205,$A55,$B$2:$B$205,$B55,$C$2:$C$205,100)))</f>
        <v>0.00645629709237028</v>
      </c>
      <c r="X55" s="3" t="n">
        <f aca="false">IF(ISBLANK(H55),"",ABS(H55-SUMIFS($H$2:$H$205,$A$2:$A$205,$A55,$B$2:$B$205,$B55,$C$2:$C$205,100)))</f>
        <v>0.00645628008385302</v>
      </c>
      <c r="Y55" s="3" t="n">
        <f aca="false">IF(ISBLANK(I55),"",ABS(I55-SUMIFS($I$2:$I$205,$A$2:$A$205,$A55,$B$2:$B$205,$B55,$C$2:$C$205,100)))</f>
        <v>0.0064573948959159</v>
      </c>
      <c r="Z55" s="3" t="n">
        <f aca="false">IF(ISBLANK(J55),"",ABS(J55-SUMIFS($J$2:$J$205,$A$2:$A$205,$A55,$B$2:$B$205,$B55,$C$2:$C$205,100)))</f>
        <v>0.00645728672069623</v>
      </c>
      <c r="AA55" s="3" t="str">
        <f aca="false">IF(ISBLANK(K55),"",ABS(K55-SUMIFS($K$2:$K$205,$A$2:$A$205,$A55,$B$2:$B$205,$B55,$C$2:$C$205,100)))</f>
        <v/>
      </c>
      <c r="AB55" s="3" t="str">
        <f aca="false">IF(ISBLANK(L55),"",ABS(L55-SUMIFS($L$2:$L$205,$A$2:$A$205,$A55,$B$2:$B$205,$B55,$C$2:$C$205,100)))</f>
        <v/>
      </c>
      <c r="AC55" s="3" t="str">
        <f aca="false">IF(ISBLANK(M55),"",ABS(M55-SUMIFS($M$2:$M$205,$A$2:$A$205,$A55,$B$2:$B$205,$B55,$C$2:$C$205,100)))</f>
        <v/>
      </c>
      <c r="AD55" s="3" t="str">
        <f aca="false">IF(ISBLANK(N55),"",ABS(N55-SUMIFS($N$2:$N$205,$A$2:$A$205,$A55,$B$2:$B$205,$B55,$C$2:$C$205,100)))</f>
        <v/>
      </c>
      <c r="AE55" s="3" t="str">
        <f aca="false">IF(ISBLANK(O55),"",ABS(O55-SUMIFS($O$2:$O$205,$A$2:$A$205,$A55,$B$2:$B$205,$B55,$C$2:$C$205,100)))</f>
        <v/>
      </c>
      <c r="AF55" s="3" t="str">
        <f aca="false">IF(ISBLANK(P55),"",ABS(P55-SUMIFS($P$2:$P$205,$A$2:$A$205,$A55,$B$2:$B$205,$B55,$C$2:$C$205,100)))</f>
        <v/>
      </c>
      <c r="AG55" s="3" t="str">
        <f aca="false">IF(ISBLANK(Q55),"",ABS(Q55-SUMIFS($Q$2:$Q$205,$A$2:$A$205,$A55,$B$2:$B$205,$B55,$C$2:$C$205,100)))</f>
        <v/>
      </c>
      <c r="AH55" s="3" t="str">
        <f aca="false">IF(ISBLANK(R55),"",ABS(R55-SUMIFS($R$2:$R$205,$A$2:$A$205,$A55,$B$2:$B$205,$B55,$C$2:$C$205,100)))</f>
        <v/>
      </c>
      <c r="AI55" s="3" t="str">
        <f aca="false">IF(ISBLANK(S55),"",ABS(S55-SUMIFS($S$2:$S$205,$A$2:$A$205,$A55,$B$2:$B$205,$B55,$C$2:$C$205,100)))</f>
        <v/>
      </c>
      <c r="AJ55" s="3" t="n">
        <f aca="false">MAX(V55:AI55)</f>
        <v>0.0064573948959159</v>
      </c>
    </row>
    <row r="56" customFormat="false" ht="15" hidden="false" customHeight="false" outlineLevel="0" collapsed="false">
      <c r="A56" s="2" t="s">
        <v>42</v>
      </c>
      <c r="B56" s="2" t="s">
        <v>38</v>
      </c>
      <c r="C56" s="2" t="n">
        <v>50</v>
      </c>
      <c r="D56" s="3" t="n">
        <v>-527.884404509269</v>
      </c>
      <c r="E56" s="3" t="n">
        <v>-1.07383987406237</v>
      </c>
      <c r="F56" s="3" t="n">
        <v>-114.474529863534</v>
      </c>
      <c r="G56" s="3" t="n">
        <v>-11.1513729920012</v>
      </c>
      <c r="H56" s="3" t="n">
        <v>-8.73601944783852</v>
      </c>
      <c r="I56" s="3" t="n">
        <v>-1.09562781466449</v>
      </c>
      <c r="J56" s="3" t="n">
        <v>-0.585887348082126</v>
      </c>
      <c r="K56" s="3"/>
      <c r="L56" s="3"/>
      <c r="M56" s="3"/>
      <c r="N56" s="3"/>
      <c r="O56" s="3"/>
      <c r="P56" s="3"/>
      <c r="Q56" s="3"/>
      <c r="R56" s="3"/>
      <c r="S56" s="3"/>
      <c r="T56" s="3" t="n">
        <f aca="false">ABS(D56-SUMIFS($D$2:$D$205,$A$2:$A$205,$A56,$B$2:$B$205,$B56,$C$2:$C$205,100))</f>
        <v>7.38964445190504E-012</v>
      </c>
      <c r="U56" s="3" t="n">
        <f aca="false">ABS(E56-SUMIFS($E$2:$E$205,$A$2:$A$205,$A56,$B$2:$B$205,$B56,$C$2:$C$205,100))</f>
        <v>5.90905102626493E-012</v>
      </c>
      <c r="V56" s="3" t="n">
        <f aca="false">IF(ISBLANK(F56),"",ABS(F56-SUMIFS($F$2:$F$205,$A$2:$A$205,$A56,$B$2:$B$205,$B56,$C$2:$C$205,100)))</f>
        <v>4.263545903882E-006</v>
      </c>
      <c r="W56" s="3" t="n">
        <f aca="false">IF(ISBLANK(G56),"",ABS(G56-SUMIFS($G$2:$G$205,$A$2:$A$205,$A56,$B$2:$B$205,$B56,$C$2:$C$205,100)))</f>
        <v>4.26354587013122E-006</v>
      </c>
      <c r="X56" s="3" t="n">
        <f aca="false">IF(ISBLANK(H56),"",ABS(H56-SUMIFS($H$2:$H$205,$A$2:$A$205,$A56,$B$2:$B$205,$B56,$C$2:$C$205,100)))</f>
        <v>4.26307087764144E-006</v>
      </c>
      <c r="Y56" s="3" t="n">
        <f aca="false">IF(ISBLANK(I56),"",ABS(I56-SUMIFS($I$2:$I$205,$A$2:$A$205,$A56,$B$2:$B$205,$B56,$C$2:$C$205,100)))</f>
        <v>4.26325780389369E-006</v>
      </c>
      <c r="Z56" s="3" t="n">
        <f aca="false">IF(ISBLANK(J56),"",ABS(J56-SUMIFS($J$2:$J$205,$A$2:$A$205,$A56,$B$2:$B$205,$B56,$C$2:$C$205,100)))</f>
        <v>4.2636557918696E-006</v>
      </c>
      <c r="AA56" s="3" t="str">
        <f aca="false">IF(ISBLANK(K56),"",ABS(K56-SUMIFS($K$2:$K$205,$A$2:$A$205,$A56,$B$2:$B$205,$B56,$C$2:$C$205,100)))</f>
        <v/>
      </c>
      <c r="AB56" s="3" t="str">
        <f aca="false">IF(ISBLANK(L56),"",ABS(L56-SUMIFS($L$2:$L$205,$A$2:$A$205,$A56,$B$2:$B$205,$B56,$C$2:$C$205,100)))</f>
        <v/>
      </c>
      <c r="AC56" s="3" t="str">
        <f aca="false">IF(ISBLANK(M56),"",ABS(M56-SUMIFS($M$2:$M$205,$A$2:$A$205,$A56,$B$2:$B$205,$B56,$C$2:$C$205,100)))</f>
        <v/>
      </c>
      <c r="AD56" s="3" t="str">
        <f aca="false">IF(ISBLANK(N56),"",ABS(N56-SUMIFS($N$2:$N$205,$A$2:$A$205,$A56,$B$2:$B$205,$B56,$C$2:$C$205,100)))</f>
        <v/>
      </c>
      <c r="AE56" s="3" t="str">
        <f aca="false">IF(ISBLANK(O56),"",ABS(O56-SUMIFS($O$2:$O$205,$A$2:$A$205,$A56,$B$2:$B$205,$B56,$C$2:$C$205,100)))</f>
        <v/>
      </c>
      <c r="AF56" s="3" t="str">
        <f aca="false">IF(ISBLANK(P56),"",ABS(P56-SUMIFS($P$2:$P$205,$A$2:$A$205,$A56,$B$2:$B$205,$B56,$C$2:$C$205,100)))</f>
        <v/>
      </c>
      <c r="AG56" s="3" t="str">
        <f aca="false">IF(ISBLANK(Q56),"",ABS(Q56-SUMIFS($Q$2:$Q$205,$A$2:$A$205,$A56,$B$2:$B$205,$B56,$C$2:$C$205,100)))</f>
        <v/>
      </c>
      <c r="AH56" s="3" t="str">
        <f aca="false">IF(ISBLANK(R56),"",ABS(R56-SUMIFS($R$2:$R$205,$A$2:$A$205,$A56,$B$2:$B$205,$B56,$C$2:$C$205,100)))</f>
        <v/>
      </c>
      <c r="AI56" s="3" t="str">
        <f aca="false">IF(ISBLANK(S56),"",ABS(S56-SUMIFS($S$2:$S$205,$A$2:$A$205,$A56,$B$2:$B$205,$B56,$C$2:$C$205,100)))</f>
        <v/>
      </c>
      <c r="AJ56" s="3" t="n">
        <f aca="false">MAX(V56:AI56)</f>
        <v>4.2636557918696E-006</v>
      </c>
    </row>
    <row r="57" customFormat="false" ht="15" hidden="false" customHeight="false" outlineLevel="0" collapsed="false">
      <c r="A57" s="2" t="s">
        <v>42</v>
      </c>
      <c r="B57" s="2" t="s">
        <v>38</v>
      </c>
      <c r="C57" s="2" t="n">
        <v>80</v>
      </c>
      <c r="D57" s="3" t="n">
        <v>-527.884404509262</v>
      </c>
      <c r="E57" s="3" t="n">
        <v>-1.07383987405645</v>
      </c>
      <c r="F57" s="3" t="n">
        <v>-114.474534127119</v>
      </c>
      <c r="G57" s="3" t="n">
        <v>-11.1513772555855</v>
      </c>
      <c r="H57" s="3" t="n">
        <v>-8.7360237113779</v>
      </c>
      <c r="I57" s="3" t="n">
        <v>-1.09563207796072</v>
      </c>
      <c r="J57" s="3" t="n">
        <v>-0.585891611621503</v>
      </c>
      <c r="K57" s="3"/>
      <c r="L57" s="3"/>
      <c r="M57" s="3"/>
      <c r="N57" s="3"/>
      <c r="O57" s="3"/>
      <c r="P57" s="3"/>
      <c r="Q57" s="3"/>
      <c r="R57" s="3"/>
      <c r="S57" s="3"/>
      <c r="T57" s="3" t="n">
        <f aca="false">ABS(D57-SUMIFS($D$2:$D$205,$A$2:$A$205,$A57,$B$2:$B$205,$B57,$C$2:$C$205,100))</f>
        <v>0</v>
      </c>
      <c r="U57" s="3" t="n">
        <f aca="false">ABS(E57-SUMIFS($E$2:$E$205,$A$2:$A$205,$A57,$B$2:$B$205,$B57,$C$2:$C$205,100))</f>
        <v>1.08801856413265E-014</v>
      </c>
      <c r="V57" s="3" t="n">
        <f aca="false">IF(ISBLANK(F57),"",ABS(F57-SUMIFS($F$2:$F$205,$A$2:$A$205,$A57,$B$2:$B$205,$B57,$C$2:$C$205,100)))</f>
        <v>3.84972054234822E-011</v>
      </c>
      <c r="W57" s="3" t="n">
        <f aca="false">IF(ISBLANK(G57),"",ABS(G57-SUMIFS($G$2:$G$205,$A$2:$A$205,$A57,$B$2:$B$205,$B57,$C$2:$C$205,100)))</f>
        <v>3.8438585647782E-011</v>
      </c>
      <c r="X57" s="3" t="n">
        <f aca="false">IF(ISBLANK(H57),"",ABS(H57-SUMIFS($H$2:$H$205,$A$2:$A$205,$A57,$B$2:$B$205,$B57,$C$2:$C$205,100)))</f>
        <v>4.68499905537101E-010</v>
      </c>
      <c r="Y57" s="3" t="n">
        <f aca="false">IF(ISBLANK(I57),"",ABS(I57-SUMIFS($I$2:$I$205,$A$2:$A$205,$A57,$B$2:$B$205,$B57,$C$2:$C$205,100)))</f>
        <v>3.84319243096343E-011</v>
      </c>
      <c r="Z57" s="3" t="n">
        <f aca="false">IF(ISBLANK(J57),"",ABS(J57-SUMIFS($J$2:$J$205,$A$2:$A$205,$A57,$B$2:$B$205,$B57,$C$2:$C$205,100)))</f>
        <v>1.16415321826935E-010</v>
      </c>
      <c r="AA57" s="3" t="str">
        <f aca="false">IF(ISBLANK(K57),"",ABS(K57-SUMIFS($K$2:$K$205,$A$2:$A$205,$A57,$B$2:$B$205,$B57,$C$2:$C$205,100)))</f>
        <v/>
      </c>
      <c r="AB57" s="3" t="str">
        <f aca="false">IF(ISBLANK(L57),"",ABS(L57-SUMIFS($L$2:$L$205,$A$2:$A$205,$A57,$B$2:$B$205,$B57,$C$2:$C$205,100)))</f>
        <v/>
      </c>
      <c r="AC57" s="3" t="str">
        <f aca="false">IF(ISBLANK(M57),"",ABS(M57-SUMIFS($M$2:$M$205,$A$2:$A$205,$A57,$B$2:$B$205,$B57,$C$2:$C$205,100)))</f>
        <v/>
      </c>
      <c r="AD57" s="3" t="str">
        <f aca="false">IF(ISBLANK(N57),"",ABS(N57-SUMIFS($N$2:$N$205,$A$2:$A$205,$A57,$B$2:$B$205,$B57,$C$2:$C$205,100)))</f>
        <v/>
      </c>
      <c r="AE57" s="3" t="str">
        <f aca="false">IF(ISBLANK(O57),"",ABS(O57-SUMIFS($O$2:$O$205,$A$2:$A$205,$A57,$B$2:$B$205,$B57,$C$2:$C$205,100)))</f>
        <v/>
      </c>
      <c r="AF57" s="3" t="str">
        <f aca="false">IF(ISBLANK(P57),"",ABS(P57-SUMIFS($P$2:$P$205,$A$2:$A$205,$A57,$B$2:$B$205,$B57,$C$2:$C$205,100)))</f>
        <v/>
      </c>
      <c r="AG57" s="3" t="str">
        <f aca="false">IF(ISBLANK(Q57),"",ABS(Q57-SUMIFS($Q$2:$Q$205,$A$2:$A$205,$A57,$B$2:$B$205,$B57,$C$2:$C$205,100)))</f>
        <v/>
      </c>
      <c r="AH57" s="3" t="str">
        <f aca="false">IF(ISBLANK(R57),"",ABS(R57-SUMIFS($R$2:$R$205,$A$2:$A$205,$A57,$B$2:$B$205,$B57,$C$2:$C$205,100)))</f>
        <v/>
      </c>
      <c r="AI57" s="3" t="str">
        <f aca="false">IF(ISBLANK(S57),"",ABS(S57-SUMIFS($S$2:$S$205,$A$2:$A$205,$A57,$B$2:$B$205,$B57,$C$2:$C$205,100)))</f>
        <v/>
      </c>
      <c r="AJ57" s="3" t="n">
        <f aca="false">MAX(V57:AI57)</f>
        <v>4.68499905537101E-010</v>
      </c>
    </row>
    <row r="58" customFormat="false" ht="15" hidden="false" customHeight="false" outlineLevel="0" collapsed="false">
      <c r="A58" s="4" t="s">
        <v>42</v>
      </c>
      <c r="B58" s="4" t="s">
        <v>38</v>
      </c>
      <c r="C58" s="4" t="n">
        <v>100</v>
      </c>
      <c r="D58" s="5" t="n">
        <v>-527.884404509261</v>
      </c>
      <c r="E58" s="5" t="n">
        <v>-1.07383987405646</v>
      </c>
      <c r="F58" s="3" t="n">
        <v>-114.47453412708</v>
      </c>
      <c r="G58" s="3" t="n">
        <v>-11.151377255547</v>
      </c>
      <c r="H58" s="3" t="n">
        <v>-8.7360237109094</v>
      </c>
      <c r="I58" s="3" t="n">
        <v>-1.09563207792229</v>
      </c>
      <c r="J58" s="3" t="n">
        <v>-0.585891611737918</v>
      </c>
      <c r="K58" s="3"/>
      <c r="L58" s="3"/>
      <c r="M58" s="3"/>
      <c r="N58" s="3"/>
      <c r="O58" s="3"/>
      <c r="P58" s="3"/>
      <c r="Q58" s="3"/>
      <c r="R58" s="3"/>
      <c r="S58" s="3"/>
      <c r="T58" s="3" t="n">
        <f aca="false">ABS(D58-SUMIFS($D$2:$D$205,$A$2:$A$205,$A58,$B$2:$B$205,$B58,$C$2:$C$205,100))</f>
        <v>0</v>
      </c>
      <c r="U58" s="3" t="n">
        <f aca="false">ABS(E58-SUMIFS($E$2:$E$205,$A$2:$A$205,$A58,$B$2:$B$205,$B58,$C$2:$C$205,100))</f>
        <v>0</v>
      </c>
      <c r="V58" s="3" t="n">
        <f aca="false">IF(ISBLANK(F58),"",ABS(F58-SUMIFS($F$2:$F$205,$A$2:$A$205,$A58,$B$2:$B$205,$B58,$C$2:$C$205,100)))</f>
        <v>0</v>
      </c>
      <c r="W58" s="3" t="n">
        <f aca="false">IF(ISBLANK(G58),"",ABS(G58-SUMIFS($G$2:$G$205,$A$2:$A$205,$A58,$B$2:$B$205,$B58,$C$2:$C$205,100)))</f>
        <v>0</v>
      </c>
      <c r="X58" s="3" t="n">
        <f aca="false">IF(ISBLANK(H58),"",ABS(H58-SUMIFS($H$2:$H$205,$A$2:$A$205,$A58,$B$2:$B$205,$B58,$C$2:$C$205,100)))</f>
        <v>0</v>
      </c>
      <c r="Y58" s="3" t="n">
        <f aca="false">IF(ISBLANK(I58),"",ABS(I58-SUMIFS($I$2:$I$205,$A$2:$A$205,$A58,$B$2:$B$205,$B58,$C$2:$C$205,100)))</f>
        <v>0</v>
      </c>
      <c r="Z58" s="3" t="n">
        <f aca="false">IF(ISBLANK(J58),"",ABS(J58-SUMIFS($J$2:$J$205,$A$2:$A$205,$A58,$B$2:$B$205,$B58,$C$2:$C$205,100)))</f>
        <v>0</v>
      </c>
      <c r="AA58" s="3" t="str">
        <f aca="false">IF(ISBLANK(K58),"",ABS(K58-SUMIFS($K$2:$K$205,$A$2:$A$205,$A58,$B$2:$B$205,$B58,$C$2:$C$205,100)))</f>
        <v/>
      </c>
      <c r="AB58" s="3" t="str">
        <f aca="false">IF(ISBLANK(L58),"",ABS(L58-SUMIFS($L$2:$L$205,$A$2:$A$205,$A58,$B$2:$B$205,$B58,$C$2:$C$205,100)))</f>
        <v/>
      </c>
      <c r="AC58" s="3" t="str">
        <f aca="false">IF(ISBLANK(M58),"",ABS(M58-SUMIFS($M$2:$M$205,$A$2:$A$205,$A58,$B$2:$B$205,$B58,$C$2:$C$205,100)))</f>
        <v/>
      </c>
      <c r="AD58" s="3" t="str">
        <f aca="false">IF(ISBLANK(N58),"",ABS(N58-SUMIFS($N$2:$N$205,$A$2:$A$205,$A58,$B$2:$B$205,$B58,$C$2:$C$205,100)))</f>
        <v/>
      </c>
      <c r="AE58" s="3" t="str">
        <f aca="false">IF(ISBLANK(O58),"",ABS(O58-SUMIFS($O$2:$O$205,$A$2:$A$205,$A58,$B$2:$B$205,$B58,$C$2:$C$205,100)))</f>
        <v/>
      </c>
      <c r="AF58" s="3" t="str">
        <f aca="false">IF(ISBLANK(P58),"",ABS(P58-SUMIFS($P$2:$P$205,$A$2:$A$205,$A58,$B$2:$B$205,$B58,$C$2:$C$205,100)))</f>
        <v/>
      </c>
      <c r="AG58" s="3" t="str">
        <f aca="false">IF(ISBLANK(Q58),"",ABS(Q58-SUMIFS($Q$2:$Q$205,$A$2:$A$205,$A58,$B$2:$B$205,$B58,$C$2:$C$205,100)))</f>
        <v/>
      </c>
      <c r="AH58" s="3" t="str">
        <f aca="false">IF(ISBLANK(R58),"",ABS(R58-SUMIFS($R$2:$R$205,$A$2:$A$205,$A58,$B$2:$B$205,$B58,$C$2:$C$205,100)))</f>
        <v/>
      </c>
      <c r="AI58" s="3" t="str">
        <f aca="false">IF(ISBLANK(S58),"",ABS(S58-SUMIFS($S$2:$S$205,$A$2:$A$205,$A58,$B$2:$B$205,$B58,$C$2:$C$205,100)))</f>
        <v/>
      </c>
      <c r="AJ58" s="3" t="n">
        <f aca="false">MAX(V58:AI58)</f>
        <v>0</v>
      </c>
    </row>
    <row r="59" customFormat="false" ht="15" hidden="false" customHeight="false" outlineLevel="0" collapsed="false">
      <c r="A59" s="2" t="s">
        <v>42</v>
      </c>
      <c r="B59" s="2" t="s">
        <v>39</v>
      </c>
      <c r="C59" s="2" t="n">
        <v>5</v>
      </c>
      <c r="D59" s="3" t="n">
        <v>-527.749664649199</v>
      </c>
      <c r="E59" s="3" t="n">
        <v>-0.943872909064674</v>
      </c>
      <c r="F59" s="3" t="n">
        <v>-114.250680879773</v>
      </c>
      <c r="G59" s="3" t="n">
        <v>-10.8954242007824</v>
      </c>
      <c r="H59" s="3" t="n">
        <v>-8.47347708960431</v>
      </c>
      <c r="I59" s="3" t="n">
        <v>-0.981752308301352</v>
      </c>
      <c r="J59" s="3" t="n">
        <v>-0.468929473681714</v>
      </c>
      <c r="K59" s="3"/>
      <c r="L59" s="3"/>
      <c r="M59" s="3"/>
      <c r="N59" s="3"/>
      <c r="O59" s="3"/>
      <c r="P59" s="3"/>
      <c r="Q59" s="3"/>
      <c r="R59" s="3"/>
      <c r="S59" s="3"/>
      <c r="T59" s="3" t="n">
        <f aca="false">ABS(D59-SUMIFS($D$2:$D$205,$A$2:$A$205,$A59,$B$2:$B$205,$B59,$C$2:$C$205,100))</f>
        <v>0.1347398600617</v>
      </c>
      <c r="U59" s="3" t="n">
        <f aca="false">ABS(E59-SUMIFS($E$2:$E$205,$A$2:$A$205,$A59,$B$2:$B$205,$B59,$C$2:$C$205,100))</f>
        <v>0.129966964992019</v>
      </c>
      <c r="V59" s="3" t="n">
        <f aca="false">IF(ISBLANK(F59),"",ABS(F59-SUMIFS($F$2:$F$205,$A$2:$A$205,$A59,$B$2:$B$205,$B59,$C$2:$C$205,100)))</f>
        <v>0.223853247228902</v>
      </c>
      <c r="W59" s="3" t="n">
        <f aca="false">IF(ISBLANK(G59),"",ABS(G59-SUMIFS($G$2:$G$205,$A$2:$A$205,$A59,$B$2:$B$205,$B59,$C$2:$C$205,100)))</f>
        <v>0.25595305468663</v>
      </c>
      <c r="X59" s="3" t="n">
        <f aca="false">IF(ISBLANK(H59),"",ABS(H59-SUMIFS($H$2:$H$205,$A$2:$A$205,$A59,$B$2:$B$205,$B59,$C$2:$C$205,100)))</f>
        <v>0.26254662183179</v>
      </c>
      <c r="Y59" s="3" t="n">
        <f aca="false">IF(ISBLANK(I59),"",ABS(I59-SUMIFS($I$2:$I$205,$A$2:$A$205,$A59,$B$2:$B$205,$B59,$C$2:$C$205,100)))</f>
        <v>0.113879769542956</v>
      </c>
      <c r="Z59" s="3" t="n">
        <f aca="false">IF(ISBLANK(J59),"",ABS(J59-SUMIFS($J$2:$J$205,$A$2:$A$205,$A59,$B$2:$B$205,$B59,$C$2:$C$205,100)))</f>
        <v>0.116962137997996</v>
      </c>
      <c r="AA59" s="3" t="str">
        <f aca="false">IF(ISBLANK(K59),"",ABS(K59-SUMIFS($K$2:$K$205,$A$2:$A$205,$A59,$B$2:$B$205,$B59,$C$2:$C$205,100)))</f>
        <v/>
      </c>
      <c r="AB59" s="3" t="str">
        <f aca="false">IF(ISBLANK(L59),"",ABS(L59-SUMIFS($L$2:$L$205,$A$2:$A$205,$A59,$B$2:$B$205,$B59,$C$2:$C$205,100)))</f>
        <v/>
      </c>
      <c r="AC59" s="3" t="str">
        <f aca="false">IF(ISBLANK(M59),"",ABS(M59-SUMIFS($M$2:$M$205,$A$2:$A$205,$A59,$B$2:$B$205,$B59,$C$2:$C$205,100)))</f>
        <v/>
      </c>
      <c r="AD59" s="3" t="str">
        <f aca="false">IF(ISBLANK(N59),"",ABS(N59-SUMIFS($N$2:$N$205,$A$2:$A$205,$A59,$B$2:$B$205,$B59,$C$2:$C$205,100)))</f>
        <v/>
      </c>
      <c r="AE59" s="3" t="str">
        <f aca="false">IF(ISBLANK(O59),"",ABS(O59-SUMIFS($O$2:$O$205,$A$2:$A$205,$A59,$B$2:$B$205,$B59,$C$2:$C$205,100)))</f>
        <v/>
      </c>
      <c r="AF59" s="3" t="str">
        <f aca="false">IF(ISBLANK(P59),"",ABS(P59-SUMIFS($P$2:$P$205,$A$2:$A$205,$A59,$B$2:$B$205,$B59,$C$2:$C$205,100)))</f>
        <v/>
      </c>
      <c r="AG59" s="3" t="str">
        <f aca="false">IF(ISBLANK(Q59),"",ABS(Q59-SUMIFS($Q$2:$Q$205,$A$2:$A$205,$A59,$B$2:$B$205,$B59,$C$2:$C$205,100)))</f>
        <v/>
      </c>
      <c r="AH59" s="3" t="str">
        <f aca="false">IF(ISBLANK(R59),"",ABS(R59-SUMIFS($R$2:$R$205,$A$2:$A$205,$A59,$B$2:$B$205,$B59,$C$2:$C$205,100)))</f>
        <v/>
      </c>
      <c r="AI59" s="3" t="str">
        <f aca="false">IF(ISBLANK(S59),"",ABS(S59-SUMIFS($S$2:$S$205,$A$2:$A$205,$A59,$B$2:$B$205,$B59,$C$2:$C$205,100)))</f>
        <v/>
      </c>
      <c r="AJ59" s="3" t="n">
        <f aca="false">MAX(V59:AI59)</f>
        <v>0.26254662183179</v>
      </c>
    </row>
    <row r="60" customFormat="false" ht="15" hidden="false" customHeight="false" outlineLevel="0" collapsed="false">
      <c r="A60" s="2" t="s">
        <v>42</v>
      </c>
      <c r="B60" s="2" t="s">
        <v>39</v>
      </c>
      <c r="C60" s="2" t="n">
        <v>10</v>
      </c>
      <c r="D60" s="3" t="n">
        <v>-527.866105468043</v>
      </c>
      <c r="E60" s="3" t="n">
        <v>-1.05524270211018</v>
      </c>
      <c r="F60" s="3" t="n">
        <v>-114.539376989758</v>
      </c>
      <c r="G60" s="3" t="n">
        <v>-11.2264319955153</v>
      </c>
      <c r="H60" s="3" t="n">
        <v>-8.81241662021204</v>
      </c>
      <c r="I60" s="3" t="n">
        <v>-1.15875702852154</v>
      </c>
      <c r="J60" s="3" t="n">
        <v>-0.648878303034569</v>
      </c>
      <c r="K60" s="3"/>
      <c r="L60" s="3"/>
      <c r="M60" s="3"/>
      <c r="N60" s="3"/>
      <c r="O60" s="3"/>
      <c r="P60" s="3"/>
      <c r="Q60" s="3"/>
      <c r="R60" s="3"/>
      <c r="S60" s="3"/>
      <c r="T60" s="3" t="n">
        <f aca="false">ABS(D60-SUMIFS($D$2:$D$205,$A$2:$A$205,$A60,$B$2:$B$205,$B60,$C$2:$C$205,100))</f>
        <v>0.0182990412181425</v>
      </c>
      <c r="U60" s="3" t="n">
        <f aca="false">ABS(E60-SUMIFS($E$2:$E$205,$A$2:$A$205,$A60,$B$2:$B$205,$B60,$C$2:$C$205,100))</f>
        <v>0.018597171946509</v>
      </c>
      <c r="V60" s="3" t="n">
        <f aca="false">IF(ISBLANK(F60),"",ABS(F60-SUMIFS($F$2:$F$205,$A$2:$A$205,$A60,$B$2:$B$205,$B60,$C$2:$C$205,100)))</f>
        <v>0.0648428627560946</v>
      </c>
      <c r="W60" s="3" t="n">
        <f aca="false">IF(ISBLANK(G60),"",ABS(G60-SUMIFS($G$2:$G$205,$A$2:$A$205,$A60,$B$2:$B$205,$B60,$C$2:$C$205,100)))</f>
        <v>0.0750547400462196</v>
      </c>
      <c r="X60" s="3" t="n">
        <f aca="false">IF(ISBLANK(H60),"",ABS(H60-SUMIFS($H$2:$H$205,$A$2:$A$205,$A60,$B$2:$B$205,$B60,$C$2:$C$205,100)))</f>
        <v>0.0763929087759401</v>
      </c>
      <c r="Y60" s="3" t="n">
        <f aca="false">IF(ISBLANK(I60),"",ABS(I60-SUMIFS($I$2:$I$205,$A$2:$A$205,$A60,$B$2:$B$205,$B60,$C$2:$C$205,100)))</f>
        <v>0.0631249506772349</v>
      </c>
      <c r="Z60" s="3" t="n">
        <f aca="false">IF(ISBLANK(J60),"",ABS(J60-SUMIFS($J$2:$J$205,$A$2:$A$205,$A60,$B$2:$B$205,$B60,$C$2:$C$205,100)))</f>
        <v>0.0629866913548587</v>
      </c>
      <c r="AA60" s="3" t="str">
        <f aca="false">IF(ISBLANK(K60),"",ABS(K60-SUMIFS($K$2:$K$205,$A$2:$A$205,$A60,$B$2:$B$205,$B60,$C$2:$C$205,100)))</f>
        <v/>
      </c>
      <c r="AB60" s="3" t="str">
        <f aca="false">IF(ISBLANK(L60),"",ABS(L60-SUMIFS($L$2:$L$205,$A$2:$A$205,$A60,$B$2:$B$205,$B60,$C$2:$C$205,100)))</f>
        <v/>
      </c>
      <c r="AC60" s="3" t="str">
        <f aca="false">IF(ISBLANK(M60),"",ABS(M60-SUMIFS($M$2:$M$205,$A$2:$A$205,$A60,$B$2:$B$205,$B60,$C$2:$C$205,100)))</f>
        <v/>
      </c>
      <c r="AD60" s="3" t="str">
        <f aca="false">IF(ISBLANK(N60),"",ABS(N60-SUMIFS($N$2:$N$205,$A$2:$A$205,$A60,$B$2:$B$205,$B60,$C$2:$C$205,100)))</f>
        <v/>
      </c>
      <c r="AE60" s="3" t="str">
        <f aca="false">IF(ISBLANK(O60),"",ABS(O60-SUMIFS($O$2:$O$205,$A$2:$A$205,$A60,$B$2:$B$205,$B60,$C$2:$C$205,100)))</f>
        <v/>
      </c>
      <c r="AF60" s="3" t="str">
        <f aca="false">IF(ISBLANK(P60),"",ABS(P60-SUMIFS($P$2:$P$205,$A$2:$A$205,$A60,$B$2:$B$205,$B60,$C$2:$C$205,100)))</f>
        <v/>
      </c>
      <c r="AG60" s="3" t="str">
        <f aca="false">IF(ISBLANK(Q60),"",ABS(Q60-SUMIFS($Q$2:$Q$205,$A$2:$A$205,$A60,$B$2:$B$205,$B60,$C$2:$C$205,100)))</f>
        <v/>
      </c>
      <c r="AH60" s="3" t="str">
        <f aca="false">IF(ISBLANK(R60),"",ABS(R60-SUMIFS($R$2:$R$205,$A$2:$A$205,$A60,$B$2:$B$205,$B60,$C$2:$C$205,100)))</f>
        <v/>
      </c>
      <c r="AI60" s="3" t="str">
        <f aca="false">IF(ISBLANK(S60),"",ABS(S60-SUMIFS($S$2:$S$205,$A$2:$A$205,$A60,$B$2:$B$205,$B60,$C$2:$C$205,100)))</f>
        <v/>
      </c>
      <c r="AJ60" s="3" t="n">
        <f aca="false">MAX(V60:AI60)</f>
        <v>0.0763929087759401</v>
      </c>
    </row>
    <row r="61" customFormat="false" ht="15" hidden="false" customHeight="false" outlineLevel="0" collapsed="false">
      <c r="A61" s="2" t="s">
        <v>42</v>
      </c>
      <c r="B61" s="2" t="s">
        <v>39</v>
      </c>
      <c r="C61" s="2" t="n">
        <v>15</v>
      </c>
      <c r="D61" s="3" t="n">
        <v>-527.881782910346</v>
      </c>
      <c r="E61" s="3" t="n">
        <v>-1.07128045860759</v>
      </c>
      <c r="F61" s="3" t="n">
        <v>-114.444993104869</v>
      </c>
      <c r="G61" s="3" t="n">
        <v>-11.1246913028222</v>
      </c>
      <c r="H61" s="3" t="n">
        <v>-8.70923597704192</v>
      </c>
      <c r="I61" s="3" t="n">
        <v>-1.07100642141616</v>
      </c>
      <c r="J61" s="3" t="n">
        <v>-0.561365878095949</v>
      </c>
      <c r="K61" s="3"/>
      <c r="L61" s="3"/>
      <c r="M61" s="3"/>
      <c r="N61" s="3"/>
      <c r="O61" s="3"/>
      <c r="P61" s="3"/>
      <c r="Q61" s="3"/>
      <c r="R61" s="3"/>
      <c r="S61" s="3"/>
      <c r="T61" s="3" t="n">
        <f aca="false">ABS(D61-SUMIFS($D$2:$D$205,$A$2:$A$205,$A61,$B$2:$B$205,$B61,$C$2:$C$205,100))</f>
        <v>0.0026215989148568</v>
      </c>
      <c r="U61" s="3" t="n">
        <f aca="false">ABS(E61-SUMIFS($E$2:$E$205,$A$2:$A$205,$A61,$B$2:$B$205,$B61,$C$2:$C$205,100))</f>
        <v>0.00255941544910598</v>
      </c>
      <c r="V61" s="3" t="n">
        <f aca="false">IF(ISBLANK(F61),"",ABS(F61-SUMIFS($F$2:$F$205,$A$2:$A$205,$A61,$B$2:$B$205,$B61,$C$2:$C$205,100)))</f>
        <v>0.0295410221329036</v>
      </c>
      <c r="W61" s="3" t="n">
        <f aca="false">IF(ISBLANK(G61),"",ABS(G61-SUMIFS($G$2:$G$205,$A$2:$A$205,$A61,$B$2:$B$205,$B61,$C$2:$C$205,100)))</f>
        <v>0.0266859526469005</v>
      </c>
      <c r="X61" s="3" t="n">
        <f aca="false">IF(ISBLANK(H61),"",ABS(H61-SUMIFS($H$2:$H$205,$A$2:$A$205,$A61,$B$2:$B$205,$B61,$C$2:$C$205,100)))</f>
        <v>0.0267877343941798</v>
      </c>
      <c r="Y61" s="3" t="n">
        <f aca="false">IF(ISBLANK(I61),"",ABS(I61-SUMIFS($I$2:$I$205,$A$2:$A$205,$A61,$B$2:$B$205,$B61,$C$2:$C$205,100)))</f>
        <v>0.024625656428152</v>
      </c>
      <c r="Z61" s="3" t="n">
        <f aca="false">IF(ISBLANK(J61),"",ABS(J61-SUMIFS($J$2:$J$205,$A$2:$A$205,$A61,$B$2:$B$205,$B61,$C$2:$C$205,100)))</f>
        <v>0.0245257335837616</v>
      </c>
      <c r="AA61" s="3" t="str">
        <f aca="false">IF(ISBLANK(K61),"",ABS(K61-SUMIFS($K$2:$K$205,$A$2:$A$205,$A61,$B$2:$B$205,$B61,$C$2:$C$205,100)))</f>
        <v/>
      </c>
      <c r="AB61" s="3" t="str">
        <f aca="false">IF(ISBLANK(L61),"",ABS(L61-SUMIFS($L$2:$L$205,$A$2:$A$205,$A61,$B$2:$B$205,$B61,$C$2:$C$205,100)))</f>
        <v/>
      </c>
      <c r="AC61" s="3" t="str">
        <f aca="false">IF(ISBLANK(M61),"",ABS(M61-SUMIFS($M$2:$M$205,$A$2:$A$205,$A61,$B$2:$B$205,$B61,$C$2:$C$205,100)))</f>
        <v/>
      </c>
      <c r="AD61" s="3" t="str">
        <f aca="false">IF(ISBLANK(N61),"",ABS(N61-SUMIFS($N$2:$N$205,$A$2:$A$205,$A61,$B$2:$B$205,$B61,$C$2:$C$205,100)))</f>
        <v/>
      </c>
      <c r="AE61" s="3" t="str">
        <f aca="false">IF(ISBLANK(O61),"",ABS(O61-SUMIFS($O$2:$O$205,$A$2:$A$205,$A61,$B$2:$B$205,$B61,$C$2:$C$205,100)))</f>
        <v/>
      </c>
      <c r="AF61" s="3" t="str">
        <f aca="false">IF(ISBLANK(P61),"",ABS(P61-SUMIFS($P$2:$P$205,$A$2:$A$205,$A61,$B$2:$B$205,$B61,$C$2:$C$205,100)))</f>
        <v/>
      </c>
      <c r="AG61" s="3" t="str">
        <f aca="false">IF(ISBLANK(Q61),"",ABS(Q61-SUMIFS($Q$2:$Q$205,$A$2:$A$205,$A61,$B$2:$B$205,$B61,$C$2:$C$205,100)))</f>
        <v/>
      </c>
      <c r="AH61" s="3" t="str">
        <f aca="false">IF(ISBLANK(R61),"",ABS(R61-SUMIFS($R$2:$R$205,$A$2:$A$205,$A61,$B$2:$B$205,$B61,$C$2:$C$205,100)))</f>
        <v/>
      </c>
      <c r="AI61" s="3" t="str">
        <f aca="false">IF(ISBLANK(S61),"",ABS(S61-SUMIFS($S$2:$S$205,$A$2:$A$205,$A61,$B$2:$B$205,$B61,$C$2:$C$205,100)))</f>
        <v/>
      </c>
      <c r="AJ61" s="3" t="n">
        <f aca="false">MAX(V61:AI61)</f>
        <v>0.0295410221329036</v>
      </c>
    </row>
    <row r="62" customFormat="false" ht="15" hidden="false" customHeight="false" outlineLevel="0" collapsed="false">
      <c r="A62" s="2" t="s">
        <v>42</v>
      </c>
      <c r="B62" s="2" t="s">
        <v>39</v>
      </c>
      <c r="C62" s="2" t="n">
        <v>20</v>
      </c>
      <c r="D62" s="3" t="n">
        <v>-527.884167415297</v>
      </c>
      <c r="E62" s="3" t="n">
        <v>-1.07358853854254</v>
      </c>
      <c r="F62" s="3" t="n">
        <v>-114.478561604529</v>
      </c>
      <c r="G62" s="3" t="n">
        <v>-11.1567748690117</v>
      </c>
      <c r="H62" s="3" t="n">
        <v>-8.74147611197234</v>
      </c>
      <c r="I62" s="3" t="n">
        <v>-1.10096564690764</v>
      </c>
      <c r="J62" s="3" t="n">
        <v>-0.591213895426732</v>
      </c>
      <c r="K62" s="3"/>
      <c r="L62" s="3"/>
      <c r="M62" s="3"/>
      <c r="N62" s="3"/>
      <c r="O62" s="3"/>
      <c r="P62" s="3"/>
      <c r="Q62" s="3"/>
      <c r="R62" s="3"/>
      <c r="S62" s="3"/>
      <c r="T62" s="3" t="n">
        <f aca="false">ABS(D62-SUMIFS($D$2:$D$205,$A$2:$A$205,$A62,$B$2:$B$205,$B62,$C$2:$C$205,100))</f>
        <v>0.000237093964187807</v>
      </c>
      <c r="U62" s="3" t="n">
        <f aca="false">ABS(E62-SUMIFS($E$2:$E$205,$A$2:$A$205,$A62,$B$2:$B$205,$B62,$C$2:$C$205,100))</f>
        <v>0.000251335514156903</v>
      </c>
      <c r="V62" s="3" t="n">
        <f aca="false">IF(ISBLANK(F62),"",ABS(F62-SUMIFS($F$2:$F$205,$A$2:$A$205,$A62,$B$2:$B$205,$B62,$C$2:$C$205,100)))</f>
        <v>0.00402747752710297</v>
      </c>
      <c r="W62" s="3" t="n">
        <f aca="false">IF(ISBLANK(G62),"",ABS(G62-SUMIFS($G$2:$G$205,$A$2:$A$205,$A62,$B$2:$B$205,$B62,$C$2:$C$205,100)))</f>
        <v>0.00539761354268009</v>
      </c>
      <c r="X62" s="3" t="n">
        <f aca="false">IF(ISBLANK(H62),"",ABS(H62-SUMIFS($H$2:$H$205,$A$2:$A$205,$A62,$B$2:$B$205,$B62,$C$2:$C$205,100)))</f>
        <v>0.0054524005362353</v>
      </c>
      <c r="Y62" s="3" t="n">
        <f aca="false">IF(ISBLANK(I62),"",ABS(I62-SUMIFS($I$2:$I$205,$A$2:$A$205,$A62,$B$2:$B$205,$B62,$C$2:$C$205,100)))</f>
        <v>0.00533356906333293</v>
      </c>
      <c r="Z62" s="3" t="n">
        <f aca="false">IF(ISBLANK(J62),"",ABS(J62-SUMIFS($J$2:$J$205,$A$2:$A$205,$A62,$B$2:$B$205,$B62,$C$2:$C$205,100)))</f>
        <v>0.00532228374702126</v>
      </c>
      <c r="AA62" s="3" t="str">
        <f aca="false">IF(ISBLANK(K62),"",ABS(K62-SUMIFS($K$2:$K$205,$A$2:$A$205,$A62,$B$2:$B$205,$B62,$C$2:$C$205,100)))</f>
        <v/>
      </c>
      <c r="AB62" s="3" t="str">
        <f aca="false">IF(ISBLANK(L62),"",ABS(L62-SUMIFS($L$2:$L$205,$A$2:$A$205,$A62,$B$2:$B$205,$B62,$C$2:$C$205,100)))</f>
        <v/>
      </c>
      <c r="AC62" s="3" t="str">
        <f aca="false">IF(ISBLANK(M62),"",ABS(M62-SUMIFS($M$2:$M$205,$A$2:$A$205,$A62,$B$2:$B$205,$B62,$C$2:$C$205,100)))</f>
        <v/>
      </c>
      <c r="AD62" s="3" t="str">
        <f aca="false">IF(ISBLANK(N62),"",ABS(N62-SUMIFS($N$2:$N$205,$A$2:$A$205,$A62,$B$2:$B$205,$B62,$C$2:$C$205,100)))</f>
        <v/>
      </c>
      <c r="AE62" s="3" t="str">
        <f aca="false">IF(ISBLANK(O62),"",ABS(O62-SUMIFS($O$2:$O$205,$A$2:$A$205,$A62,$B$2:$B$205,$B62,$C$2:$C$205,100)))</f>
        <v/>
      </c>
      <c r="AF62" s="3" t="str">
        <f aca="false">IF(ISBLANK(P62),"",ABS(P62-SUMIFS($P$2:$P$205,$A$2:$A$205,$A62,$B$2:$B$205,$B62,$C$2:$C$205,100)))</f>
        <v/>
      </c>
      <c r="AG62" s="3" t="str">
        <f aca="false">IF(ISBLANK(Q62),"",ABS(Q62-SUMIFS($Q$2:$Q$205,$A$2:$A$205,$A62,$B$2:$B$205,$B62,$C$2:$C$205,100)))</f>
        <v/>
      </c>
      <c r="AH62" s="3" t="str">
        <f aca="false">IF(ISBLANK(R62),"",ABS(R62-SUMIFS($R$2:$R$205,$A$2:$A$205,$A62,$B$2:$B$205,$B62,$C$2:$C$205,100)))</f>
        <v/>
      </c>
      <c r="AI62" s="3" t="str">
        <f aca="false">IF(ISBLANK(S62),"",ABS(S62-SUMIFS($S$2:$S$205,$A$2:$A$205,$A62,$B$2:$B$205,$B62,$C$2:$C$205,100)))</f>
        <v/>
      </c>
      <c r="AJ62" s="3" t="n">
        <f aca="false">MAX(V62:AI62)</f>
        <v>0.0054524005362353</v>
      </c>
    </row>
    <row r="63" customFormat="false" ht="15" hidden="false" customHeight="false" outlineLevel="0" collapsed="false">
      <c r="A63" s="2" t="s">
        <v>42</v>
      </c>
      <c r="B63" s="2" t="s">
        <v>39</v>
      </c>
      <c r="C63" s="2" t="n">
        <v>30</v>
      </c>
      <c r="D63" s="3" t="n">
        <v>-527.884405680294</v>
      </c>
      <c r="E63" s="3" t="n">
        <v>-1.0738407681913</v>
      </c>
      <c r="F63" s="3" t="n">
        <v>-114.474231776459</v>
      </c>
      <c r="G63" s="3" t="n">
        <v>-11.1511150204544</v>
      </c>
      <c r="H63" s="3" t="n">
        <v>-8.73576338158963</v>
      </c>
      <c r="I63" s="3" t="n">
        <v>-1.09537152453402</v>
      </c>
      <c r="J63" s="3" t="n">
        <v>-0.585630962942123</v>
      </c>
      <c r="K63" s="3"/>
      <c r="L63" s="3"/>
      <c r="M63" s="3"/>
      <c r="N63" s="3"/>
      <c r="O63" s="3"/>
      <c r="P63" s="3"/>
      <c r="Q63" s="3"/>
      <c r="R63" s="3"/>
      <c r="S63" s="3"/>
      <c r="T63" s="3" t="n">
        <f aca="false">ABS(D63-SUMIFS($D$2:$D$205,$A$2:$A$205,$A63,$B$2:$B$205,$B63,$C$2:$C$205,100))</f>
        <v>1.1710336593751E-006</v>
      </c>
      <c r="U63" s="3" t="n">
        <f aca="false">ABS(E63-SUMIFS($E$2:$E$205,$A$2:$A$205,$A63,$B$2:$B$205,$B63,$C$2:$C$205,100))</f>
        <v>8.94134605911034E-007</v>
      </c>
      <c r="V63" s="3" t="n">
        <f aca="false">IF(ISBLANK(F63),"",ABS(F63-SUMIFS($F$2:$F$205,$A$2:$A$205,$A63,$B$2:$B$205,$B63,$C$2:$C$205,100)))</f>
        <v>0.000302350543805119</v>
      </c>
      <c r="W63" s="3" t="n">
        <f aca="false">IF(ISBLANK(G63),"",ABS(G63-SUMIFS($G$2:$G$205,$A$2:$A$205,$A63,$B$2:$B$205,$B63,$C$2:$C$205,100)))</f>
        <v>0.000262235014631074</v>
      </c>
      <c r="X63" s="3" t="n">
        <f aca="false">IF(ISBLANK(H63),"",ABS(H63-SUMIFS($H$2:$H$205,$A$2:$A$205,$A63,$B$2:$B$205,$B63,$C$2:$C$205,100)))</f>
        <v>0.000260329846474505</v>
      </c>
      <c r="Y63" s="3" t="n">
        <f aca="false">IF(ISBLANK(I63),"",ABS(I63-SUMIFS($I$2:$I$205,$A$2:$A$205,$A63,$B$2:$B$205,$B63,$C$2:$C$205,100)))</f>
        <v>0.000260553310289069</v>
      </c>
      <c r="Z63" s="3" t="n">
        <f aca="false">IF(ISBLANK(J63),"",ABS(J63-SUMIFS($J$2:$J$205,$A$2:$A$205,$A63,$B$2:$B$205,$B63,$C$2:$C$205,100)))</f>
        <v>0.000260648737587355</v>
      </c>
      <c r="AA63" s="3" t="str">
        <f aca="false">IF(ISBLANK(K63),"",ABS(K63-SUMIFS($K$2:$K$205,$A$2:$A$205,$A63,$B$2:$B$205,$B63,$C$2:$C$205,100)))</f>
        <v/>
      </c>
      <c r="AB63" s="3" t="str">
        <f aca="false">IF(ISBLANK(L63),"",ABS(L63-SUMIFS($L$2:$L$205,$A$2:$A$205,$A63,$B$2:$B$205,$B63,$C$2:$C$205,100)))</f>
        <v/>
      </c>
      <c r="AC63" s="3" t="str">
        <f aca="false">IF(ISBLANK(M63),"",ABS(M63-SUMIFS($M$2:$M$205,$A$2:$A$205,$A63,$B$2:$B$205,$B63,$C$2:$C$205,100)))</f>
        <v/>
      </c>
      <c r="AD63" s="3" t="str">
        <f aca="false">IF(ISBLANK(N63),"",ABS(N63-SUMIFS($N$2:$N$205,$A$2:$A$205,$A63,$B$2:$B$205,$B63,$C$2:$C$205,100)))</f>
        <v/>
      </c>
      <c r="AE63" s="3" t="str">
        <f aca="false">IF(ISBLANK(O63),"",ABS(O63-SUMIFS($O$2:$O$205,$A$2:$A$205,$A63,$B$2:$B$205,$B63,$C$2:$C$205,100)))</f>
        <v/>
      </c>
      <c r="AF63" s="3" t="str">
        <f aca="false">IF(ISBLANK(P63),"",ABS(P63-SUMIFS($P$2:$P$205,$A$2:$A$205,$A63,$B$2:$B$205,$B63,$C$2:$C$205,100)))</f>
        <v/>
      </c>
      <c r="AG63" s="3" t="str">
        <f aca="false">IF(ISBLANK(Q63),"",ABS(Q63-SUMIFS($Q$2:$Q$205,$A$2:$A$205,$A63,$B$2:$B$205,$B63,$C$2:$C$205,100)))</f>
        <v/>
      </c>
      <c r="AH63" s="3" t="str">
        <f aca="false">IF(ISBLANK(R63),"",ABS(R63-SUMIFS($R$2:$R$205,$A$2:$A$205,$A63,$B$2:$B$205,$B63,$C$2:$C$205,100)))</f>
        <v/>
      </c>
      <c r="AI63" s="3" t="str">
        <f aca="false">IF(ISBLANK(S63),"",ABS(S63-SUMIFS($S$2:$S$205,$A$2:$A$205,$A63,$B$2:$B$205,$B63,$C$2:$C$205,100)))</f>
        <v/>
      </c>
      <c r="AJ63" s="3" t="n">
        <f aca="false">MAX(V63:AI63)</f>
        <v>0.000302350543805119</v>
      </c>
    </row>
    <row r="64" customFormat="false" ht="15" hidden="false" customHeight="false" outlineLevel="0" collapsed="false">
      <c r="A64" s="2" t="s">
        <v>42</v>
      </c>
      <c r="B64" s="2" t="s">
        <v>39</v>
      </c>
      <c r="C64" s="2" t="n">
        <v>50</v>
      </c>
      <c r="D64" s="3" t="n">
        <v>-527.884404511451</v>
      </c>
      <c r="E64" s="3" t="n">
        <v>-1.07383987624123</v>
      </c>
      <c r="F64" s="3" t="n">
        <v>-114.474534117838</v>
      </c>
      <c r="G64" s="3" t="n">
        <v>-11.1513771774447</v>
      </c>
      <c r="H64" s="3" t="n">
        <v>-8.736023631258</v>
      </c>
      <c r="I64" s="3" t="n">
        <v>-1.09563200730828</v>
      </c>
      <c r="J64" s="3" t="n">
        <v>-0.585891540860341</v>
      </c>
      <c r="K64" s="3"/>
      <c r="L64" s="3"/>
      <c r="M64" s="3"/>
      <c r="N64" s="3"/>
      <c r="O64" s="3"/>
      <c r="P64" s="3"/>
      <c r="Q64" s="3"/>
      <c r="R64" s="3"/>
      <c r="S64" s="3"/>
      <c r="T64" s="3" t="n">
        <f aca="false">ABS(D64-SUMIFS($D$2:$D$205,$A$2:$A$205,$A64,$B$2:$B$205,$B64,$C$2:$C$205,100))</f>
        <v>2.19029061554465E-009</v>
      </c>
      <c r="U64" s="3" t="n">
        <f aca="false">ABS(E64-SUMIFS($E$2:$E$205,$A$2:$A$205,$A64,$B$2:$B$205,$B64,$C$2:$C$205,100))</f>
        <v>2.18453499734039E-009</v>
      </c>
      <c r="V64" s="3" t="n">
        <f aca="false">IF(ISBLANK(F64),"",ABS(F64-SUMIFS($F$2:$F$205,$A$2:$A$205,$A64,$B$2:$B$205,$B64,$C$2:$C$205,100)))</f>
        <v>9.16409703677346E-009</v>
      </c>
      <c r="W64" s="3" t="n">
        <f aca="false">IF(ISBLANK(G64),"",ABS(G64-SUMIFS($G$2:$G$205,$A$2:$A$205,$A64,$B$2:$B$205,$B64,$C$2:$C$205,100)))</f>
        <v>7.80243798459424E-008</v>
      </c>
      <c r="X64" s="3" t="n">
        <f aca="false">IF(ISBLANK(H64),"",ABS(H64-SUMIFS($H$2:$H$205,$A$2:$A$205,$A64,$B$2:$B$205,$B64,$C$2:$C$205,100)))</f>
        <v>8.01781077086616E-008</v>
      </c>
      <c r="Y64" s="3" t="n">
        <f aca="false">IF(ISBLANK(I64),"",ABS(I64-SUMIFS($I$2:$I$205,$A$2:$A$205,$A64,$B$2:$B$205,$B64,$C$2:$C$205,100)))</f>
        <v>7.05360250208287E-008</v>
      </c>
      <c r="Z64" s="3" t="n">
        <f aca="false">IF(ISBLANK(J64),"",ABS(J64-SUMIFS($J$2:$J$205,$A$2:$A$205,$A64,$B$2:$B$205,$B64,$C$2:$C$205,100)))</f>
        <v>7.08193692577908E-008</v>
      </c>
      <c r="AA64" s="3" t="str">
        <f aca="false">IF(ISBLANK(K64),"",ABS(K64-SUMIFS($K$2:$K$205,$A$2:$A$205,$A64,$B$2:$B$205,$B64,$C$2:$C$205,100)))</f>
        <v/>
      </c>
      <c r="AB64" s="3" t="str">
        <f aca="false">IF(ISBLANK(L64),"",ABS(L64-SUMIFS($L$2:$L$205,$A$2:$A$205,$A64,$B$2:$B$205,$B64,$C$2:$C$205,100)))</f>
        <v/>
      </c>
      <c r="AC64" s="3" t="str">
        <f aca="false">IF(ISBLANK(M64),"",ABS(M64-SUMIFS($M$2:$M$205,$A$2:$A$205,$A64,$B$2:$B$205,$B64,$C$2:$C$205,100)))</f>
        <v/>
      </c>
      <c r="AD64" s="3" t="str">
        <f aca="false">IF(ISBLANK(N64),"",ABS(N64-SUMIFS($N$2:$N$205,$A$2:$A$205,$A64,$B$2:$B$205,$B64,$C$2:$C$205,100)))</f>
        <v/>
      </c>
      <c r="AE64" s="3" t="str">
        <f aca="false">IF(ISBLANK(O64),"",ABS(O64-SUMIFS($O$2:$O$205,$A$2:$A$205,$A64,$B$2:$B$205,$B64,$C$2:$C$205,100)))</f>
        <v/>
      </c>
      <c r="AF64" s="3" t="str">
        <f aca="false">IF(ISBLANK(P64),"",ABS(P64-SUMIFS($P$2:$P$205,$A$2:$A$205,$A64,$B$2:$B$205,$B64,$C$2:$C$205,100)))</f>
        <v/>
      </c>
      <c r="AG64" s="3" t="str">
        <f aca="false">IF(ISBLANK(Q64),"",ABS(Q64-SUMIFS($Q$2:$Q$205,$A$2:$A$205,$A64,$B$2:$B$205,$B64,$C$2:$C$205,100)))</f>
        <v/>
      </c>
      <c r="AH64" s="3" t="str">
        <f aca="false">IF(ISBLANK(R64),"",ABS(R64-SUMIFS($R$2:$R$205,$A$2:$A$205,$A64,$B$2:$B$205,$B64,$C$2:$C$205,100)))</f>
        <v/>
      </c>
      <c r="AI64" s="3" t="str">
        <f aca="false">IF(ISBLANK(S64),"",ABS(S64-SUMIFS($S$2:$S$205,$A$2:$A$205,$A64,$B$2:$B$205,$B64,$C$2:$C$205,100)))</f>
        <v/>
      </c>
      <c r="AJ64" s="3" t="n">
        <f aca="false">MAX(V64:AI64)</f>
        <v>8.01781077086616E-008</v>
      </c>
    </row>
    <row r="65" customFormat="false" ht="15" hidden="false" customHeight="false" outlineLevel="0" collapsed="false">
      <c r="A65" s="2" t="s">
        <v>42</v>
      </c>
      <c r="B65" s="2" t="s">
        <v>39</v>
      </c>
      <c r="C65" s="2" t="n">
        <v>80</v>
      </c>
      <c r="D65" s="3" t="n">
        <v>-527.88440450926</v>
      </c>
      <c r="E65" s="3" t="n">
        <v>-1.07383987405666</v>
      </c>
      <c r="F65" s="3" t="n">
        <v>-114.474534127022</v>
      </c>
      <c r="G65" s="3" t="n">
        <v>-11.1513772554888</v>
      </c>
      <c r="H65" s="3" t="n">
        <v>-8.7360237109094</v>
      </c>
      <c r="I65" s="3" t="n">
        <v>-1.09563207786408</v>
      </c>
      <c r="J65" s="3" t="n">
        <v>-0.585891611737918</v>
      </c>
      <c r="K65" s="3"/>
      <c r="L65" s="3"/>
      <c r="M65" s="3"/>
      <c r="N65" s="3"/>
      <c r="O65" s="3"/>
      <c r="P65" s="3"/>
      <c r="Q65" s="3"/>
      <c r="R65" s="3"/>
      <c r="S65" s="3"/>
      <c r="T65" s="3" t="n">
        <f aca="false">ABS(D65-SUMIFS($D$2:$D$205,$A$2:$A$205,$A65,$B$2:$B$205,$B65,$C$2:$C$205,100))</f>
        <v>0</v>
      </c>
      <c r="U65" s="3" t="n">
        <f aca="false">ABS(E65-SUMIFS($E$2:$E$205,$A$2:$A$205,$A65,$B$2:$B$205,$B65,$C$2:$C$205,100))</f>
        <v>3.50830475781549E-014</v>
      </c>
      <c r="V65" s="3" t="n">
        <f aca="false">IF(ISBLANK(F65),"",ABS(F65-SUMIFS($F$2:$F$205,$A$2:$A$205,$A65,$B$2:$B$205,$B65,$C$2:$C$205,100)))</f>
        <v>1.97957206182764E-011</v>
      </c>
      <c r="W65" s="3" t="n">
        <f aca="false">IF(ISBLANK(G65),"",ABS(G65-SUMIFS($G$2:$G$205,$A$2:$A$205,$A65,$B$2:$B$205,$B65,$C$2:$C$205,100)))</f>
        <v>1.97690752656854E-011</v>
      </c>
      <c r="X65" s="3" t="n">
        <f aca="false">IF(ISBLANK(H65),"",ABS(H65-SUMIFS($H$2:$H$205,$A$2:$A$205,$A65,$B$2:$B$205,$B65,$C$2:$C$205,100)))</f>
        <v>5.26707566450568E-010</v>
      </c>
      <c r="Y65" s="3" t="n">
        <f aca="false">IF(ISBLANK(I65),"",ABS(I65-SUMIFS($I$2:$I$205,$A$2:$A$205,$A65,$B$2:$B$205,$B65,$C$2:$C$205,100)))</f>
        <v>1.97748484254134E-011</v>
      </c>
      <c r="Z65" s="3" t="n">
        <f aca="false">IF(ISBLANK(J65),"",ABS(J65-SUMIFS($J$2:$J$205,$A$2:$A$205,$A65,$B$2:$B$205,$B65,$C$2:$C$205,100)))</f>
        <v>5.82076609134674E-011</v>
      </c>
      <c r="AA65" s="3" t="str">
        <f aca="false">IF(ISBLANK(K65),"",ABS(K65-SUMIFS($K$2:$K$205,$A$2:$A$205,$A65,$B$2:$B$205,$B65,$C$2:$C$205,100)))</f>
        <v/>
      </c>
      <c r="AB65" s="3" t="str">
        <f aca="false">IF(ISBLANK(L65),"",ABS(L65-SUMIFS($L$2:$L$205,$A$2:$A$205,$A65,$B$2:$B$205,$B65,$C$2:$C$205,100)))</f>
        <v/>
      </c>
      <c r="AC65" s="3" t="str">
        <f aca="false">IF(ISBLANK(M65),"",ABS(M65-SUMIFS($M$2:$M$205,$A$2:$A$205,$A65,$B$2:$B$205,$B65,$C$2:$C$205,100)))</f>
        <v/>
      </c>
      <c r="AD65" s="3" t="str">
        <f aca="false">IF(ISBLANK(N65),"",ABS(N65-SUMIFS($N$2:$N$205,$A$2:$A$205,$A65,$B$2:$B$205,$B65,$C$2:$C$205,100)))</f>
        <v/>
      </c>
      <c r="AE65" s="3" t="str">
        <f aca="false">IF(ISBLANK(O65),"",ABS(O65-SUMIFS($O$2:$O$205,$A$2:$A$205,$A65,$B$2:$B$205,$B65,$C$2:$C$205,100)))</f>
        <v/>
      </c>
      <c r="AF65" s="3" t="str">
        <f aca="false">IF(ISBLANK(P65),"",ABS(P65-SUMIFS($P$2:$P$205,$A$2:$A$205,$A65,$B$2:$B$205,$B65,$C$2:$C$205,100)))</f>
        <v/>
      </c>
      <c r="AG65" s="3" t="str">
        <f aca="false">IF(ISBLANK(Q65),"",ABS(Q65-SUMIFS($Q$2:$Q$205,$A$2:$A$205,$A65,$B$2:$B$205,$B65,$C$2:$C$205,100)))</f>
        <v/>
      </c>
      <c r="AH65" s="3" t="str">
        <f aca="false">IF(ISBLANK(R65),"",ABS(R65-SUMIFS($R$2:$R$205,$A$2:$A$205,$A65,$B$2:$B$205,$B65,$C$2:$C$205,100)))</f>
        <v/>
      </c>
      <c r="AI65" s="3" t="str">
        <f aca="false">IF(ISBLANK(S65),"",ABS(S65-SUMIFS($S$2:$S$205,$A$2:$A$205,$A65,$B$2:$B$205,$B65,$C$2:$C$205,100)))</f>
        <v/>
      </c>
      <c r="AJ65" s="3" t="n">
        <f aca="false">MAX(V65:AI65)</f>
        <v>5.26707566450568E-010</v>
      </c>
    </row>
    <row r="66" customFormat="false" ht="15" hidden="false" customHeight="false" outlineLevel="0" collapsed="false">
      <c r="A66" s="4" t="s">
        <v>42</v>
      </c>
      <c r="B66" s="4" t="s">
        <v>39</v>
      </c>
      <c r="C66" s="4" t="n">
        <v>100</v>
      </c>
      <c r="D66" s="5" t="n">
        <v>-527.884404509261</v>
      </c>
      <c r="E66" s="5" t="n">
        <v>-1.07383987405669</v>
      </c>
      <c r="F66" s="3" t="n">
        <v>-114.474534127002</v>
      </c>
      <c r="G66" s="3" t="n">
        <v>-11.1513772554691</v>
      </c>
      <c r="H66" s="3" t="n">
        <v>-8.7360237114361</v>
      </c>
      <c r="I66" s="3" t="n">
        <v>-1.09563207784431</v>
      </c>
      <c r="J66" s="3" t="n">
        <v>-0.585891611679711</v>
      </c>
      <c r="K66" s="3"/>
      <c r="L66" s="3"/>
      <c r="M66" s="3"/>
      <c r="N66" s="3"/>
      <c r="O66" s="3"/>
      <c r="P66" s="3"/>
      <c r="Q66" s="3"/>
      <c r="R66" s="3"/>
      <c r="S66" s="3"/>
      <c r="T66" s="3" t="n">
        <f aca="false">ABS(D66-SUMIFS($D$2:$D$205,$A$2:$A$205,$A66,$B$2:$B$205,$B66,$C$2:$C$205,100))</f>
        <v>0</v>
      </c>
      <c r="U66" s="3" t="n">
        <f aca="false">ABS(E66-SUMIFS($E$2:$E$205,$A$2:$A$205,$A66,$B$2:$B$205,$B66,$C$2:$C$205,100))</f>
        <v>0</v>
      </c>
      <c r="V66" s="3" t="n">
        <f aca="false">IF(ISBLANK(F66),"",ABS(F66-SUMIFS($F$2:$F$205,$A$2:$A$205,$A66,$B$2:$B$205,$B66,$C$2:$C$205,100)))</f>
        <v>0</v>
      </c>
      <c r="W66" s="3" t="n">
        <f aca="false">IF(ISBLANK(G66),"",ABS(G66-SUMIFS($G$2:$G$205,$A$2:$A$205,$A66,$B$2:$B$205,$B66,$C$2:$C$205,100)))</f>
        <v>0</v>
      </c>
      <c r="X66" s="3" t="n">
        <f aca="false">IF(ISBLANK(H66),"",ABS(H66-SUMIFS($H$2:$H$205,$A$2:$A$205,$A66,$B$2:$B$205,$B66,$C$2:$C$205,100)))</f>
        <v>0</v>
      </c>
      <c r="Y66" s="3" t="n">
        <f aca="false">IF(ISBLANK(I66),"",ABS(I66-SUMIFS($I$2:$I$205,$A$2:$A$205,$A66,$B$2:$B$205,$B66,$C$2:$C$205,100)))</f>
        <v>0</v>
      </c>
      <c r="Z66" s="3" t="n">
        <f aca="false">IF(ISBLANK(J66),"",ABS(J66-SUMIFS($J$2:$J$205,$A$2:$A$205,$A66,$B$2:$B$205,$B66,$C$2:$C$205,100)))</f>
        <v>0</v>
      </c>
      <c r="AA66" s="3" t="str">
        <f aca="false">IF(ISBLANK(K66),"",ABS(K66-SUMIFS($K$2:$K$205,$A$2:$A$205,$A66,$B$2:$B$205,$B66,$C$2:$C$205,100)))</f>
        <v/>
      </c>
      <c r="AB66" s="3" t="str">
        <f aca="false">IF(ISBLANK(L66),"",ABS(L66-SUMIFS($L$2:$L$205,$A$2:$A$205,$A66,$B$2:$B$205,$B66,$C$2:$C$205,100)))</f>
        <v/>
      </c>
      <c r="AC66" s="3" t="str">
        <f aca="false">IF(ISBLANK(M66),"",ABS(M66-SUMIFS($M$2:$M$205,$A$2:$A$205,$A66,$B$2:$B$205,$B66,$C$2:$C$205,100)))</f>
        <v/>
      </c>
      <c r="AD66" s="3" t="str">
        <f aca="false">IF(ISBLANK(N66),"",ABS(N66-SUMIFS($N$2:$N$205,$A$2:$A$205,$A66,$B$2:$B$205,$B66,$C$2:$C$205,100)))</f>
        <v/>
      </c>
      <c r="AE66" s="3" t="str">
        <f aca="false">IF(ISBLANK(O66),"",ABS(O66-SUMIFS($O$2:$O$205,$A$2:$A$205,$A66,$B$2:$B$205,$B66,$C$2:$C$205,100)))</f>
        <v/>
      </c>
      <c r="AF66" s="3" t="str">
        <f aca="false">IF(ISBLANK(P66),"",ABS(P66-SUMIFS($P$2:$P$205,$A$2:$A$205,$A66,$B$2:$B$205,$B66,$C$2:$C$205,100)))</f>
        <v/>
      </c>
      <c r="AG66" s="3" t="str">
        <f aca="false">IF(ISBLANK(Q66),"",ABS(Q66-SUMIFS($Q$2:$Q$205,$A$2:$A$205,$A66,$B$2:$B$205,$B66,$C$2:$C$205,100)))</f>
        <v/>
      </c>
      <c r="AH66" s="3" t="str">
        <f aca="false">IF(ISBLANK(R66),"",ABS(R66-SUMIFS($R$2:$R$205,$A$2:$A$205,$A66,$B$2:$B$205,$B66,$C$2:$C$205,100)))</f>
        <v/>
      </c>
      <c r="AI66" s="3" t="str">
        <f aca="false">IF(ISBLANK(S66),"",ABS(S66-SUMIFS($S$2:$S$205,$A$2:$A$205,$A66,$B$2:$B$205,$B66,$C$2:$C$205,100)))</f>
        <v/>
      </c>
      <c r="AJ66" s="3" t="n">
        <f aca="false">MAX(V66:AI66)</f>
        <v>0</v>
      </c>
    </row>
    <row r="67" customFormat="false" ht="15" hidden="false" customHeight="false" outlineLevel="0" collapsed="false">
      <c r="A67" s="2" t="s">
        <v>42</v>
      </c>
      <c r="B67" s="2" t="s">
        <v>40</v>
      </c>
      <c r="C67" s="2" t="n">
        <v>5</v>
      </c>
      <c r="D67" s="3" t="n">
        <v>-528.056597703717</v>
      </c>
      <c r="E67" s="3" t="n">
        <v>-1.24631495905134</v>
      </c>
      <c r="F67" s="3" t="n">
        <v>-114.579407347085</v>
      </c>
      <c r="G67" s="3" t="n">
        <v>-11.3158895381166</v>
      </c>
      <c r="H67" s="3" t="n">
        <v>-8.9049680702723</v>
      </c>
      <c r="I67" s="3" t="n">
        <v>-1.15796354199384</v>
      </c>
      <c r="J67" s="3" t="n">
        <v>-0.649413426188956</v>
      </c>
      <c r="K67" s="3"/>
      <c r="L67" s="3"/>
      <c r="M67" s="3"/>
      <c r="N67" s="3"/>
      <c r="O67" s="3"/>
      <c r="P67" s="3"/>
      <c r="Q67" s="3"/>
      <c r="R67" s="3"/>
      <c r="S67" s="3"/>
      <c r="T67" s="3" t="n">
        <f aca="false">ABS(D67-SUMIFS($D$2:$D$205,$A$2:$A$205,$A67,$B$2:$B$205,$B67,$C$2:$C$205,100))</f>
        <v>0.172193194456327</v>
      </c>
      <c r="U67" s="3" t="n">
        <f aca="false">ABS(E67-SUMIFS($E$2:$E$205,$A$2:$A$205,$A67,$B$2:$B$205,$B67,$C$2:$C$205,100))</f>
        <v>0.172475084994801</v>
      </c>
      <c r="V67" s="3" t="n">
        <f aca="false">IF(ISBLANK(F67),"",ABS(F67-SUMIFS($F$2:$F$205,$A$2:$A$205,$A67,$B$2:$B$205,$B67,$C$2:$C$205,100)))</f>
        <v>0.104873219963096</v>
      </c>
      <c r="W67" s="3" t="n">
        <f aca="false">IF(ISBLANK(G67),"",ABS(G67-SUMIFS($G$2:$G$205,$A$2:$A$205,$A67,$B$2:$B$205,$B67,$C$2:$C$205,100)))</f>
        <v>0.16451228252812</v>
      </c>
      <c r="X67" s="3" t="n">
        <f aca="false">IF(ISBLANK(H67),"",ABS(H67-SUMIFS($H$2:$H$205,$A$2:$A$205,$A67,$B$2:$B$205,$B67,$C$2:$C$205,100)))</f>
        <v>0.168944359013656</v>
      </c>
      <c r="Y67" s="3" t="n">
        <f aca="false">IF(ISBLANK(I67),"",ABS(I67-SUMIFS($I$2:$I$205,$A$2:$A$205,$A67,$B$2:$B$205,$B67,$C$2:$C$205,100)))</f>
        <v>0.062331464030138</v>
      </c>
      <c r="Z67" s="3" t="n">
        <f aca="false">IF(ISBLANK(J67),"",ABS(J67-SUMIFS($J$2:$J$205,$A$2:$A$205,$A67,$B$2:$B$205,$B67,$C$2:$C$205,100)))</f>
        <v>0.0635218146867057</v>
      </c>
      <c r="AA67" s="3" t="str">
        <f aca="false">IF(ISBLANK(K67),"",ABS(K67-SUMIFS($K$2:$K$205,$A$2:$A$205,$A67,$B$2:$B$205,$B67,$C$2:$C$205,100)))</f>
        <v/>
      </c>
      <c r="AB67" s="3" t="str">
        <f aca="false">IF(ISBLANK(L67),"",ABS(L67-SUMIFS($L$2:$L$205,$A$2:$A$205,$A67,$B$2:$B$205,$B67,$C$2:$C$205,100)))</f>
        <v/>
      </c>
      <c r="AC67" s="3" t="str">
        <f aca="false">IF(ISBLANK(M67),"",ABS(M67-SUMIFS($M$2:$M$205,$A$2:$A$205,$A67,$B$2:$B$205,$B67,$C$2:$C$205,100)))</f>
        <v/>
      </c>
      <c r="AD67" s="3" t="str">
        <f aca="false">IF(ISBLANK(N67),"",ABS(N67-SUMIFS($N$2:$N$205,$A$2:$A$205,$A67,$B$2:$B$205,$B67,$C$2:$C$205,100)))</f>
        <v/>
      </c>
      <c r="AE67" s="3" t="str">
        <f aca="false">IF(ISBLANK(O67),"",ABS(O67-SUMIFS($O$2:$O$205,$A$2:$A$205,$A67,$B$2:$B$205,$B67,$C$2:$C$205,100)))</f>
        <v/>
      </c>
      <c r="AF67" s="3" t="str">
        <f aca="false">IF(ISBLANK(P67),"",ABS(P67-SUMIFS($P$2:$P$205,$A$2:$A$205,$A67,$B$2:$B$205,$B67,$C$2:$C$205,100)))</f>
        <v/>
      </c>
      <c r="AG67" s="3" t="str">
        <f aca="false">IF(ISBLANK(Q67),"",ABS(Q67-SUMIFS($Q$2:$Q$205,$A$2:$A$205,$A67,$B$2:$B$205,$B67,$C$2:$C$205,100)))</f>
        <v/>
      </c>
      <c r="AH67" s="3" t="str">
        <f aca="false">IF(ISBLANK(R67),"",ABS(R67-SUMIFS($R$2:$R$205,$A$2:$A$205,$A67,$B$2:$B$205,$B67,$C$2:$C$205,100)))</f>
        <v/>
      </c>
      <c r="AI67" s="3" t="str">
        <f aca="false">IF(ISBLANK(S67),"",ABS(S67-SUMIFS($S$2:$S$205,$A$2:$A$205,$A67,$B$2:$B$205,$B67,$C$2:$C$205,100)))</f>
        <v/>
      </c>
      <c r="AJ67" s="3" t="n">
        <f aca="false">MAX(V67:AI67)</f>
        <v>0.168944359013656</v>
      </c>
    </row>
    <row r="68" customFormat="false" ht="15" hidden="false" customHeight="false" outlineLevel="0" collapsed="false">
      <c r="A68" s="2" t="s">
        <v>42</v>
      </c>
      <c r="B68" s="2" t="s">
        <v>40</v>
      </c>
      <c r="C68" s="2" t="n">
        <v>10</v>
      </c>
      <c r="D68" s="3" t="n">
        <v>-527.857538279331</v>
      </c>
      <c r="E68" s="3" t="n">
        <v>-1.04726671026129</v>
      </c>
      <c r="F68" s="3" t="n">
        <v>-114.41225737351</v>
      </c>
      <c r="G68" s="3" t="n">
        <v>-11.101643146748</v>
      </c>
      <c r="H68" s="3" t="n">
        <v>-8.68755972351561</v>
      </c>
      <c r="I68" s="3" t="n">
        <v>-1.06609225515641</v>
      </c>
      <c r="J68" s="3" t="n">
        <v>-0.556324401454521</v>
      </c>
      <c r="K68" s="3"/>
      <c r="L68" s="3"/>
      <c r="M68" s="3"/>
      <c r="N68" s="3"/>
      <c r="O68" s="3"/>
      <c r="P68" s="3"/>
      <c r="Q68" s="3"/>
      <c r="R68" s="3"/>
      <c r="S68" s="3"/>
      <c r="T68" s="3" t="n">
        <f aca="false">ABS(D68-SUMIFS($D$2:$D$205,$A$2:$A$205,$A68,$B$2:$B$205,$B68,$C$2:$C$205,100))</f>
        <v>0.0268662299295102</v>
      </c>
      <c r="U68" s="3" t="n">
        <f aca="false">ABS(E68-SUMIFS($E$2:$E$205,$A$2:$A$205,$A68,$B$2:$B$205,$B68,$C$2:$C$205,100))</f>
        <v>0.026573163795244</v>
      </c>
      <c r="V68" s="3" t="n">
        <f aca="false">IF(ISBLANK(F68),"",ABS(F68-SUMIFS($F$2:$F$205,$A$2:$A$205,$A68,$B$2:$B$205,$B68,$C$2:$C$205,100)))</f>
        <v>0.0622767536118971</v>
      </c>
      <c r="W68" s="3" t="n">
        <f aca="false">IF(ISBLANK(G68),"",ABS(G68-SUMIFS($G$2:$G$205,$A$2:$A$205,$A68,$B$2:$B$205,$B68,$C$2:$C$205,100)))</f>
        <v>0.0497341088404699</v>
      </c>
      <c r="X68" s="3" t="n">
        <f aca="false">IF(ISBLANK(H68),"",ABS(H68-SUMIFS($H$2:$H$205,$A$2:$A$205,$A68,$B$2:$B$205,$B68,$C$2:$C$205,100)))</f>
        <v>0.0484639877430269</v>
      </c>
      <c r="Y68" s="3" t="n">
        <f aca="false">IF(ISBLANK(I68),"",ABS(I68-SUMIFS($I$2:$I$205,$A$2:$A$205,$A68,$B$2:$B$205,$B68,$C$2:$C$205,100)))</f>
        <v>0.0295398228072841</v>
      </c>
      <c r="Z68" s="3" t="n">
        <f aca="false">IF(ISBLANK(J68),"",ABS(J68-SUMIFS($J$2:$J$205,$A$2:$A$205,$A68,$B$2:$B$205,$B68,$C$2:$C$205,100)))</f>
        <v>0.029567210047729</v>
      </c>
      <c r="AA68" s="3" t="str">
        <f aca="false">IF(ISBLANK(K68),"",ABS(K68-SUMIFS($K$2:$K$205,$A$2:$A$205,$A68,$B$2:$B$205,$B68,$C$2:$C$205,100)))</f>
        <v/>
      </c>
      <c r="AB68" s="3" t="str">
        <f aca="false">IF(ISBLANK(L68),"",ABS(L68-SUMIFS($L$2:$L$205,$A$2:$A$205,$A68,$B$2:$B$205,$B68,$C$2:$C$205,100)))</f>
        <v/>
      </c>
      <c r="AC68" s="3" t="str">
        <f aca="false">IF(ISBLANK(M68),"",ABS(M68-SUMIFS($M$2:$M$205,$A$2:$A$205,$A68,$B$2:$B$205,$B68,$C$2:$C$205,100)))</f>
        <v/>
      </c>
      <c r="AD68" s="3" t="str">
        <f aca="false">IF(ISBLANK(N68),"",ABS(N68-SUMIFS($N$2:$N$205,$A$2:$A$205,$A68,$B$2:$B$205,$B68,$C$2:$C$205,100)))</f>
        <v/>
      </c>
      <c r="AE68" s="3" t="str">
        <f aca="false">IF(ISBLANK(O68),"",ABS(O68-SUMIFS($O$2:$O$205,$A$2:$A$205,$A68,$B$2:$B$205,$B68,$C$2:$C$205,100)))</f>
        <v/>
      </c>
      <c r="AF68" s="3" t="str">
        <f aca="false">IF(ISBLANK(P68),"",ABS(P68-SUMIFS($P$2:$P$205,$A$2:$A$205,$A68,$B$2:$B$205,$B68,$C$2:$C$205,100)))</f>
        <v/>
      </c>
      <c r="AG68" s="3" t="str">
        <f aca="false">IF(ISBLANK(Q68),"",ABS(Q68-SUMIFS($Q$2:$Q$205,$A$2:$A$205,$A68,$B$2:$B$205,$B68,$C$2:$C$205,100)))</f>
        <v/>
      </c>
      <c r="AH68" s="3" t="str">
        <f aca="false">IF(ISBLANK(R68),"",ABS(R68-SUMIFS($R$2:$R$205,$A$2:$A$205,$A68,$B$2:$B$205,$B68,$C$2:$C$205,100)))</f>
        <v/>
      </c>
      <c r="AI68" s="3" t="str">
        <f aca="false">IF(ISBLANK(S68),"",ABS(S68-SUMIFS($S$2:$S$205,$A$2:$A$205,$A68,$B$2:$B$205,$B68,$C$2:$C$205,100)))</f>
        <v/>
      </c>
      <c r="AJ68" s="3" t="n">
        <f aca="false">MAX(V68:AI68)</f>
        <v>0.0622767536118971</v>
      </c>
    </row>
    <row r="69" customFormat="false" ht="15" hidden="false" customHeight="false" outlineLevel="0" collapsed="false">
      <c r="A69" s="2" t="s">
        <v>42</v>
      </c>
      <c r="B69" s="2" t="s">
        <v>40</v>
      </c>
      <c r="C69" s="2" t="n">
        <v>15</v>
      </c>
      <c r="D69" s="3" t="n">
        <v>-527.886560082195</v>
      </c>
      <c r="E69" s="3" t="n">
        <v>-1.07596646209546</v>
      </c>
      <c r="F69" s="3" t="n">
        <v>-114.488462420034</v>
      </c>
      <c r="G69" s="3" t="n">
        <v>-11.1700886466056</v>
      </c>
      <c r="H69" s="3" t="n">
        <v>-8.75483030907241</v>
      </c>
      <c r="I69" s="3" t="n">
        <v>-1.10958131177539</v>
      </c>
      <c r="J69" s="3" t="n">
        <v>-0.59985826425678</v>
      </c>
      <c r="K69" s="3"/>
      <c r="L69" s="3"/>
      <c r="M69" s="3"/>
      <c r="N69" s="3"/>
      <c r="O69" s="3"/>
      <c r="P69" s="3"/>
      <c r="Q69" s="3"/>
      <c r="R69" s="3"/>
      <c r="S69" s="3"/>
      <c r="T69" s="3" t="n">
        <f aca="false">ABS(D69-SUMIFS($D$2:$D$205,$A$2:$A$205,$A69,$B$2:$B$205,$B69,$C$2:$C$205,100))</f>
        <v>0.00215557293404345</v>
      </c>
      <c r="U69" s="3" t="n">
        <f aca="false">ABS(E69-SUMIFS($E$2:$E$205,$A$2:$A$205,$A69,$B$2:$B$205,$B69,$C$2:$C$205,100))</f>
        <v>0.00212658803892296</v>
      </c>
      <c r="V69" s="3" t="n">
        <f aca="false">IF(ISBLANK(F69),"",ABS(F69-SUMIFS($F$2:$F$205,$A$2:$A$205,$A69,$B$2:$B$205,$B69,$C$2:$C$205,100)))</f>
        <v>0.0139282929125955</v>
      </c>
      <c r="W69" s="3" t="n">
        <f aca="false">IF(ISBLANK(G69),"",ABS(G69-SUMIFS($G$2:$G$205,$A$2:$A$205,$A69,$B$2:$B$205,$B69,$C$2:$C$205,100)))</f>
        <v>0.0187113910171099</v>
      </c>
      <c r="X69" s="3" t="n">
        <f aca="false">IF(ISBLANK(H69),"",ABS(H69-SUMIFS($H$2:$H$205,$A$2:$A$205,$A69,$B$2:$B$205,$B69,$C$2:$C$205,100)))</f>
        <v>0.0188065978137733</v>
      </c>
      <c r="Y69" s="3" t="n">
        <f aca="false">IF(ISBLANK(I69),"",ABS(I69-SUMIFS($I$2:$I$205,$A$2:$A$205,$A69,$B$2:$B$205,$B69,$C$2:$C$205,100)))</f>
        <v>0.013949233811694</v>
      </c>
      <c r="Z69" s="3" t="n">
        <f aca="false">IF(ISBLANK(J69),"",ABS(J69-SUMIFS($J$2:$J$205,$A$2:$A$205,$A69,$B$2:$B$205,$B69,$C$2:$C$205,100)))</f>
        <v>0.01396665275453</v>
      </c>
      <c r="AA69" s="3" t="str">
        <f aca="false">IF(ISBLANK(K69),"",ABS(K69-SUMIFS($K$2:$K$205,$A$2:$A$205,$A69,$B$2:$B$205,$B69,$C$2:$C$205,100)))</f>
        <v/>
      </c>
      <c r="AB69" s="3" t="str">
        <f aca="false">IF(ISBLANK(L69),"",ABS(L69-SUMIFS($L$2:$L$205,$A$2:$A$205,$A69,$B$2:$B$205,$B69,$C$2:$C$205,100)))</f>
        <v/>
      </c>
      <c r="AC69" s="3" t="str">
        <f aca="false">IF(ISBLANK(M69),"",ABS(M69-SUMIFS($M$2:$M$205,$A$2:$A$205,$A69,$B$2:$B$205,$B69,$C$2:$C$205,100)))</f>
        <v/>
      </c>
      <c r="AD69" s="3" t="str">
        <f aca="false">IF(ISBLANK(N69),"",ABS(N69-SUMIFS($N$2:$N$205,$A$2:$A$205,$A69,$B$2:$B$205,$B69,$C$2:$C$205,100)))</f>
        <v/>
      </c>
      <c r="AE69" s="3" t="str">
        <f aca="false">IF(ISBLANK(O69),"",ABS(O69-SUMIFS($O$2:$O$205,$A$2:$A$205,$A69,$B$2:$B$205,$B69,$C$2:$C$205,100)))</f>
        <v/>
      </c>
      <c r="AF69" s="3" t="str">
        <f aca="false">IF(ISBLANK(P69),"",ABS(P69-SUMIFS($P$2:$P$205,$A$2:$A$205,$A69,$B$2:$B$205,$B69,$C$2:$C$205,100)))</f>
        <v/>
      </c>
      <c r="AG69" s="3" t="str">
        <f aca="false">IF(ISBLANK(Q69),"",ABS(Q69-SUMIFS($Q$2:$Q$205,$A$2:$A$205,$A69,$B$2:$B$205,$B69,$C$2:$C$205,100)))</f>
        <v/>
      </c>
      <c r="AH69" s="3" t="str">
        <f aca="false">IF(ISBLANK(R69),"",ABS(R69-SUMIFS($R$2:$R$205,$A$2:$A$205,$A69,$B$2:$B$205,$B69,$C$2:$C$205,100)))</f>
        <v/>
      </c>
      <c r="AI69" s="3" t="str">
        <f aca="false">IF(ISBLANK(S69),"",ABS(S69-SUMIFS($S$2:$S$205,$A$2:$A$205,$A69,$B$2:$B$205,$B69,$C$2:$C$205,100)))</f>
        <v/>
      </c>
      <c r="AJ69" s="3" t="n">
        <f aca="false">MAX(V69:AI69)</f>
        <v>0.0188065978137733</v>
      </c>
    </row>
    <row r="70" customFormat="false" ht="15" hidden="false" customHeight="false" outlineLevel="0" collapsed="false">
      <c r="A70" s="2" t="s">
        <v>42</v>
      </c>
      <c r="B70" s="2" t="s">
        <v>40</v>
      </c>
      <c r="C70" s="2" t="n">
        <v>20</v>
      </c>
      <c r="D70" s="3" t="n">
        <v>-527.884300861013</v>
      </c>
      <c r="E70" s="3" t="n">
        <v>-1.07374301167911</v>
      </c>
      <c r="F70" s="3" t="n">
        <v>-114.468826065327</v>
      </c>
      <c r="G70" s="3" t="n">
        <v>-11.1461080766985</v>
      </c>
      <c r="H70" s="3" t="n">
        <v>-8.73081209756754</v>
      </c>
      <c r="I70" s="3" t="n">
        <v>-1.09136419435199</v>
      </c>
      <c r="J70" s="3" t="n">
        <v>-0.581622891477297</v>
      </c>
      <c r="K70" s="3"/>
      <c r="L70" s="3"/>
      <c r="M70" s="3"/>
      <c r="N70" s="3"/>
      <c r="O70" s="3"/>
      <c r="P70" s="3"/>
      <c r="Q70" s="3"/>
      <c r="R70" s="3"/>
      <c r="S70" s="3"/>
      <c r="T70" s="3" t="n">
        <f aca="false">ABS(D70-SUMIFS($D$2:$D$205,$A$2:$A$205,$A70,$B$2:$B$205,$B70,$C$2:$C$205,100))</f>
        <v>0.00010364824743192</v>
      </c>
      <c r="U70" s="3" t="n">
        <f aca="false">ABS(E70-SUMIFS($E$2:$E$205,$A$2:$A$205,$A70,$B$2:$B$205,$B70,$C$2:$C$205,100))</f>
        <v>9.68623774331157E-005</v>
      </c>
      <c r="V70" s="3" t="n">
        <f aca="false">IF(ISBLANK(F70),"",ABS(F70-SUMIFS($F$2:$F$205,$A$2:$A$205,$A70,$B$2:$B$205,$B70,$C$2:$C$205,100)))</f>
        <v>0.00570806179500494</v>
      </c>
      <c r="W70" s="3" t="n">
        <f aca="false">IF(ISBLANK(G70),"",ABS(G70-SUMIFS($G$2:$G$205,$A$2:$A$205,$A70,$B$2:$B$205,$B70,$C$2:$C$205,100)))</f>
        <v>0.00526917888992884</v>
      </c>
      <c r="X70" s="3" t="n">
        <f aca="false">IF(ISBLANK(H70),"",ABS(H70-SUMIFS($H$2:$H$205,$A$2:$A$205,$A70,$B$2:$B$205,$B70,$C$2:$C$205,100)))</f>
        <v>0.00521161369110601</v>
      </c>
      <c r="Y70" s="3" t="n">
        <f aca="false">IF(ISBLANK(I70),"",ABS(I70-SUMIFS($I$2:$I$205,$A$2:$A$205,$A70,$B$2:$B$205,$B70,$C$2:$C$205,100)))</f>
        <v>0.00426788361171315</v>
      </c>
      <c r="Z70" s="3" t="n">
        <f aca="false">IF(ISBLANK(J70),"",ABS(J70-SUMIFS($J$2:$J$205,$A$2:$A$205,$A70,$B$2:$B$205,$B70,$C$2:$C$205,100)))</f>
        <v>0.00426872002495304</v>
      </c>
      <c r="AA70" s="3" t="str">
        <f aca="false">IF(ISBLANK(K70),"",ABS(K70-SUMIFS($K$2:$K$205,$A$2:$A$205,$A70,$B$2:$B$205,$B70,$C$2:$C$205,100)))</f>
        <v/>
      </c>
      <c r="AB70" s="3" t="str">
        <f aca="false">IF(ISBLANK(L70),"",ABS(L70-SUMIFS($L$2:$L$205,$A$2:$A$205,$A70,$B$2:$B$205,$B70,$C$2:$C$205,100)))</f>
        <v/>
      </c>
      <c r="AC70" s="3" t="str">
        <f aca="false">IF(ISBLANK(M70),"",ABS(M70-SUMIFS($M$2:$M$205,$A$2:$A$205,$A70,$B$2:$B$205,$B70,$C$2:$C$205,100)))</f>
        <v/>
      </c>
      <c r="AD70" s="3" t="str">
        <f aca="false">IF(ISBLANK(N70),"",ABS(N70-SUMIFS($N$2:$N$205,$A$2:$A$205,$A70,$B$2:$B$205,$B70,$C$2:$C$205,100)))</f>
        <v/>
      </c>
      <c r="AE70" s="3" t="str">
        <f aca="false">IF(ISBLANK(O70),"",ABS(O70-SUMIFS($O$2:$O$205,$A$2:$A$205,$A70,$B$2:$B$205,$B70,$C$2:$C$205,100)))</f>
        <v/>
      </c>
      <c r="AF70" s="3" t="str">
        <f aca="false">IF(ISBLANK(P70),"",ABS(P70-SUMIFS($P$2:$P$205,$A$2:$A$205,$A70,$B$2:$B$205,$B70,$C$2:$C$205,100)))</f>
        <v/>
      </c>
      <c r="AG70" s="3" t="str">
        <f aca="false">IF(ISBLANK(Q70),"",ABS(Q70-SUMIFS($Q$2:$Q$205,$A$2:$A$205,$A70,$B$2:$B$205,$B70,$C$2:$C$205,100)))</f>
        <v/>
      </c>
      <c r="AH70" s="3" t="str">
        <f aca="false">IF(ISBLANK(R70),"",ABS(R70-SUMIFS($R$2:$R$205,$A$2:$A$205,$A70,$B$2:$B$205,$B70,$C$2:$C$205,100)))</f>
        <v/>
      </c>
      <c r="AI70" s="3" t="str">
        <f aca="false">IF(ISBLANK(S70),"",ABS(S70-SUMIFS($S$2:$S$205,$A$2:$A$205,$A70,$B$2:$B$205,$B70,$C$2:$C$205,100)))</f>
        <v/>
      </c>
      <c r="AJ70" s="3" t="n">
        <f aca="false">MAX(V70:AI70)</f>
        <v>0.00570806179500494</v>
      </c>
    </row>
    <row r="71" customFormat="false" ht="15" hidden="false" customHeight="false" outlineLevel="0" collapsed="false">
      <c r="A71" s="2" t="s">
        <v>42</v>
      </c>
      <c r="B71" s="2" t="s">
        <v>40</v>
      </c>
      <c r="C71" s="2" t="n">
        <v>30</v>
      </c>
      <c r="D71" s="3" t="n">
        <v>-527.884408354027</v>
      </c>
      <c r="E71" s="3" t="n">
        <v>-1.07384379681511</v>
      </c>
      <c r="F71" s="3" t="n">
        <v>-114.474673750994</v>
      </c>
      <c r="G71" s="3" t="n">
        <v>-11.1515067217291</v>
      </c>
      <c r="H71" s="3" t="n">
        <v>-8.73615378636246</v>
      </c>
      <c r="I71" s="3" t="n">
        <v>-1.09578453407854</v>
      </c>
      <c r="J71" s="3" t="n">
        <v>-0.586043916172685</v>
      </c>
      <c r="K71" s="3"/>
      <c r="L71" s="3"/>
      <c r="M71" s="3"/>
      <c r="N71" s="3"/>
      <c r="O71" s="3"/>
      <c r="P71" s="3"/>
      <c r="Q71" s="3"/>
      <c r="R71" s="3"/>
      <c r="S71" s="3"/>
      <c r="T71" s="3" t="n">
        <f aca="false">ABS(D71-SUMIFS($D$2:$D$205,$A$2:$A$205,$A71,$B$2:$B$205,$B71,$C$2:$C$205,100))</f>
        <v>3.8447666383945E-006</v>
      </c>
      <c r="U71" s="3" t="n">
        <f aca="false">ABS(E71-SUMIFS($E$2:$E$205,$A$2:$A$205,$A71,$B$2:$B$205,$B71,$C$2:$C$205,100))</f>
        <v>3.92275856686553E-006</v>
      </c>
      <c r="V71" s="3" t="n">
        <f aca="false">IF(ISBLANK(F71),"",ABS(F71-SUMIFS($F$2:$F$205,$A$2:$A$205,$A71,$B$2:$B$205,$B71,$C$2:$C$205,100)))</f>
        <v>0.000139623872598804</v>
      </c>
      <c r="W71" s="3" t="n">
        <f aca="false">IF(ISBLANK(G71),"",ABS(G71-SUMIFS($G$2:$G$205,$A$2:$A$205,$A71,$B$2:$B$205,$B71,$C$2:$C$205,100)))</f>
        <v>0.000129466140689871</v>
      </c>
      <c r="X71" s="3" t="n">
        <f aca="false">IF(ISBLANK(H71),"",ABS(H71-SUMIFS($H$2:$H$205,$A$2:$A$205,$A71,$B$2:$B$205,$B71,$C$2:$C$205,100)))</f>
        <v>0.00013007510382046</v>
      </c>
      <c r="Y71" s="3" t="n">
        <f aca="false">IF(ISBLANK(I71),"",ABS(I71-SUMIFS($I$2:$I$205,$A$2:$A$205,$A71,$B$2:$B$205,$B71,$C$2:$C$205,100)))</f>
        <v>0.000152456114845823</v>
      </c>
      <c r="Z71" s="3" t="n">
        <f aca="false">IF(ISBLANK(J71),"",ABS(J71-SUMIFS($J$2:$J$205,$A$2:$A$205,$A71,$B$2:$B$205,$B71,$C$2:$C$205,100)))</f>
        <v>0.000152304670434478</v>
      </c>
      <c r="AA71" s="3" t="str">
        <f aca="false">IF(ISBLANK(K71),"",ABS(K71-SUMIFS($K$2:$K$205,$A$2:$A$205,$A71,$B$2:$B$205,$B71,$C$2:$C$205,100)))</f>
        <v/>
      </c>
      <c r="AB71" s="3" t="str">
        <f aca="false">IF(ISBLANK(L71),"",ABS(L71-SUMIFS($L$2:$L$205,$A$2:$A$205,$A71,$B$2:$B$205,$B71,$C$2:$C$205,100)))</f>
        <v/>
      </c>
      <c r="AC71" s="3" t="str">
        <f aca="false">IF(ISBLANK(M71),"",ABS(M71-SUMIFS($M$2:$M$205,$A$2:$A$205,$A71,$B$2:$B$205,$B71,$C$2:$C$205,100)))</f>
        <v/>
      </c>
      <c r="AD71" s="3" t="str">
        <f aca="false">IF(ISBLANK(N71),"",ABS(N71-SUMIFS($N$2:$N$205,$A$2:$A$205,$A71,$B$2:$B$205,$B71,$C$2:$C$205,100)))</f>
        <v/>
      </c>
      <c r="AE71" s="3" t="str">
        <f aca="false">IF(ISBLANK(O71),"",ABS(O71-SUMIFS($O$2:$O$205,$A$2:$A$205,$A71,$B$2:$B$205,$B71,$C$2:$C$205,100)))</f>
        <v/>
      </c>
      <c r="AF71" s="3" t="str">
        <f aca="false">IF(ISBLANK(P71),"",ABS(P71-SUMIFS($P$2:$P$205,$A$2:$A$205,$A71,$B$2:$B$205,$B71,$C$2:$C$205,100)))</f>
        <v/>
      </c>
      <c r="AG71" s="3" t="str">
        <f aca="false">IF(ISBLANK(Q71),"",ABS(Q71-SUMIFS($Q$2:$Q$205,$A$2:$A$205,$A71,$B$2:$B$205,$B71,$C$2:$C$205,100)))</f>
        <v/>
      </c>
      <c r="AH71" s="3" t="str">
        <f aca="false">IF(ISBLANK(R71),"",ABS(R71-SUMIFS($R$2:$R$205,$A$2:$A$205,$A71,$B$2:$B$205,$B71,$C$2:$C$205,100)))</f>
        <v/>
      </c>
      <c r="AI71" s="3" t="str">
        <f aca="false">IF(ISBLANK(S71),"",ABS(S71-SUMIFS($S$2:$S$205,$A$2:$A$205,$A71,$B$2:$B$205,$B71,$C$2:$C$205,100)))</f>
        <v/>
      </c>
      <c r="AJ71" s="3" t="n">
        <f aca="false">MAX(V71:AI71)</f>
        <v>0.000152456114845823</v>
      </c>
    </row>
    <row r="72" customFormat="false" ht="15" hidden="false" customHeight="false" outlineLevel="0" collapsed="false">
      <c r="A72" s="2" t="s">
        <v>42</v>
      </c>
      <c r="B72" s="2" t="s">
        <v>40</v>
      </c>
      <c r="C72" s="2" t="n">
        <v>50</v>
      </c>
      <c r="D72" s="3" t="n">
        <v>-527.884404507053</v>
      </c>
      <c r="E72" s="3" t="n">
        <v>-1.0738398718635</v>
      </c>
      <c r="F72" s="3" t="n">
        <v>-114.474534154991</v>
      </c>
      <c r="G72" s="3" t="n">
        <v>-11.1513772555129</v>
      </c>
      <c r="H72" s="3" t="n">
        <v>-8.73602371046194</v>
      </c>
      <c r="I72" s="3" t="n">
        <v>-1.0956320778879</v>
      </c>
      <c r="J72" s="3" t="n">
        <v>-0.585891611290464</v>
      </c>
      <c r="K72" s="3"/>
      <c r="L72" s="3"/>
      <c r="M72" s="3"/>
      <c r="N72" s="3"/>
      <c r="O72" s="3"/>
      <c r="P72" s="3"/>
      <c r="Q72" s="3"/>
      <c r="R72" s="3"/>
      <c r="S72" s="3"/>
      <c r="T72" s="3" t="n">
        <f aca="false">ABS(D72-SUMIFS($D$2:$D$205,$A$2:$A$205,$A72,$B$2:$B$205,$B72,$C$2:$C$205,100))</f>
        <v>2.20825313590467E-009</v>
      </c>
      <c r="U72" s="3" t="n">
        <f aca="false">ABS(E72-SUMIFS($E$2:$E$205,$A$2:$A$205,$A72,$B$2:$B$205,$B72,$C$2:$C$205,100))</f>
        <v>2.1930339766385E-009</v>
      </c>
      <c r="V72" s="3" t="n">
        <f aca="false">IF(ISBLANK(F72),"",ABS(F72-SUMIFS($F$2:$F$205,$A$2:$A$205,$A72,$B$2:$B$205,$B72,$C$2:$C$205,100)))</f>
        <v>2.78694045618977E-008</v>
      </c>
      <c r="W72" s="3" t="n">
        <f aca="false">IF(ISBLANK(G72),"",ABS(G72-SUMIFS($G$2:$G$205,$A$2:$A$205,$A72,$B$2:$B$205,$B72,$C$2:$C$205,100)))</f>
        <v>7.55395745954957E-011</v>
      </c>
      <c r="X72" s="3" t="n">
        <f aca="false">IF(ISBLANK(H72),"",ABS(H72-SUMIFS($H$2:$H$205,$A$2:$A$205,$A72,$B$2:$B$205,$B72,$C$2:$C$205,100)))</f>
        <v>7.96697818827852E-010</v>
      </c>
      <c r="Y72" s="3" t="n">
        <f aca="false">IF(ISBLANK(I72),"",ABS(I72-SUMIFS($I$2:$I$205,$A$2:$A$205,$A72,$B$2:$B$205,$B72,$C$2:$C$205,100)))</f>
        <v>7.58031415415417E-011</v>
      </c>
      <c r="Z72" s="3" t="n">
        <f aca="false">IF(ISBLANK(J72),"",ABS(J72-SUMIFS($J$2:$J$205,$A$2:$A$205,$A72,$B$2:$B$205,$B72,$C$2:$C$205,100)))</f>
        <v>2.11786033155192E-010</v>
      </c>
      <c r="AA72" s="3" t="str">
        <f aca="false">IF(ISBLANK(K72),"",ABS(K72-SUMIFS($K$2:$K$205,$A$2:$A$205,$A72,$B$2:$B$205,$B72,$C$2:$C$205,100)))</f>
        <v/>
      </c>
      <c r="AB72" s="3" t="str">
        <f aca="false">IF(ISBLANK(L72),"",ABS(L72-SUMIFS($L$2:$L$205,$A$2:$A$205,$A72,$B$2:$B$205,$B72,$C$2:$C$205,100)))</f>
        <v/>
      </c>
      <c r="AC72" s="3" t="str">
        <f aca="false">IF(ISBLANK(M72),"",ABS(M72-SUMIFS($M$2:$M$205,$A$2:$A$205,$A72,$B$2:$B$205,$B72,$C$2:$C$205,100)))</f>
        <v/>
      </c>
      <c r="AD72" s="3" t="str">
        <f aca="false">IF(ISBLANK(N72),"",ABS(N72-SUMIFS($N$2:$N$205,$A$2:$A$205,$A72,$B$2:$B$205,$B72,$C$2:$C$205,100)))</f>
        <v/>
      </c>
      <c r="AE72" s="3" t="str">
        <f aca="false">IF(ISBLANK(O72),"",ABS(O72-SUMIFS($O$2:$O$205,$A$2:$A$205,$A72,$B$2:$B$205,$B72,$C$2:$C$205,100)))</f>
        <v/>
      </c>
      <c r="AF72" s="3" t="str">
        <f aca="false">IF(ISBLANK(P72),"",ABS(P72-SUMIFS($P$2:$P$205,$A$2:$A$205,$A72,$B$2:$B$205,$B72,$C$2:$C$205,100)))</f>
        <v/>
      </c>
      <c r="AG72" s="3" t="str">
        <f aca="false">IF(ISBLANK(Q72),"",ABS(Q72-SUMIFS($Q$2:$Q$205,$A$2:$A$205,$A72,$B$2:$B$205,$B72,$C$2:$C$205,100)))</f>
        <v/>
      </c>
      <c r="AH72" s="3" t="str">
        <f aca="false">IF(ISBLANK(R72),"",ABS(R72-SUMIFS($R$2:$R$205,$A$2:$A$205,$A72,$B$2:$B$205,$B72,$C$2:$C$205,100)))</f>
        <v/>
      </c>
      <c r="AI72" s="3" t="str">
        <f aca="false">IF(ISBLANK(S72),"",ABS(S72-SUMIFS($S$2:$S$205,$A$2:$A$205,$A72,$B$2:$B$205,$B72,$C$2:$C$205,100)))</f>
        <v/>
      </c>
      <c r="AJ72" s="3" t="n">
        <f aca="false">MAX(V72:AI72)</f>
        <v>2.78694045618977E-008</v>
      </c>
    </row>
    <row r="73" customFormat="false" ht="15" hidden="false" customHeight="false" outlineLevel="0" collapsed="false">
      <c r="A73" s="2" t="s">
        <v>42</v>
      </c>
      <c r="B73" s="2" t="s">
        <v>40</v>
      </c>
      <c r="C73" s="2" t="n">
        <v>80</v>
      </c>
      <c r="D73" s="3" t="n">
        <v>-527.884404509264</v>
      </c>
      <c r="E73" s="3" t="n">
        <v>-1.07383987405655</v>
      </c>
      <c r="F73" s="3" t="n">
        <v>-114.47453412702</v>
      </c>
      <c r="G73" s="3" t="n">
        <v>-11.1513772554866</v>
      </c>
      <c r="H73" s="3" t="n">
        <v>-8.73602371098836</v>
      </c>
      <c r="I73" s="3" t="n">
        <v>-1.09563207786183</v>
      </c>
      <c r="J73" s="3" t="n">
        <v>-0.58589161181689</v>
      </c>
      <c r="K73" s="3"/>
      <c r="L73" s="3"/>
      <c r="M73" s="3"/>
      <c r="N73" s="3"/>
      <c r="O73" s="3"/>
      <c r="P73" s="3"/>
      <c r="Q73" s="3"/>
      <c r="R73" s="3"/>
      <c r="S73" s="3"/>
      <c r="T73" s="3" t="n">
        <f aca="false">ABS(D73-SUMIFS($D$2:$D$205,$A$2:$A$205,$A73,$B$2:$B$205,$B73,$C$2:$C$205,100))</f>
        <v>3.63797880709171E-012</v>
      </c>
      <c r="U73" s="3" t="n">
        <f aca="false">ABS(E73-SUMIFS($E$2:$E$205,$A$2:$A$205,$A73,$B$2:$B$205,$B73,$C$2:$C$205,100))</f>
        <v>1.19904086659517E-014</v>
      </c>
      <c r="V73" s="3" t="n">
        <f aca="false">IF(ISBLANK(F73),"",ABS(F73-SUMIFS($F$2:$F$205,$A$2:$A$205,$A73,$B$2:$B$205,$B73,$C$2:$C$205,100)))</f>
        <v>1.01806563179707E-010</v>
      </c>
      <c r="W73" s="3" t="n">
        <f aca="false">IF(ISBLANK(G73),"",ABS(G73-SUMIFS($G$2:$G$205,$A$2:$A$205,$A73,$B$2:$B$205,$B73,$C$2:$C$205,100)))</f>
        <v>1.01859853884889E-010</v>
      </c>
      <c r="X73" s="3" t="n">
        <f aca="false">IF(ISBLANK(H73),"",ABS(H73-SUMIFS($H$2:$H$205,$A$2:$A$205,$A73,$B$2:$B$205,$B73,$C$2:$C$205,100)))</f>
        <v>2.70276245828427E-010</v>
      </c>
      <c r="Y73" s="3" t="n">
        <f aca="false">IF(ISBLANK(I73),"",ABS(I73-SUMIFS($I$2:$I$205,$A$2:$A$205,$A73,$B$2:$B$205,$B73,$C$2:$C$205,100)))</f>
        <v>1.01864072732383E-010</v>
      </c>
      <c r="Z73" s="3" t="n">
        <f aca="false">IF(ISBLANK(J73),"",ABS(J73-SUMIFS($J$2:$J$205,$A$2:$A$205,$A73,$B$2:$B$205,$B73,$C$2:$C$205,100)))</f>
        <v>3.14640424825541E-010</v>
      </c>
      <c r="AA73" s="3" t="str">
        <f aca="false">IF(ISBLANK(K73),"",ABS(K73-SUMIFS($K$2:$K$205,$A$2:$A$205,$A73,$B$2:$B$205,$B73,$C$2:$C$205,100)))</f>
        <v/>
      </c>
      <c r="AB73" s="3" t="str">
        <f aca="false">IF(ISBLANK(L73),"",ABS(L73-SUMIFS($L$2:$L$205,$A$2:$A$205,$A73,$B$2:$B$205,$B73,$C$2:$C$205,100)))</f>
        <v/>
      </c>
      <c r="AC73" s="3" t="str">
        <f aca="false">IF(ISBLANK(M73),"",ABS(M73-SUMIFS($M$2:$M$205,$A$2:$A$205,$A73,$B$2:$B$205,$B73,$C$2:$C$205,100)))</f>
        <v/>
      </c>
      <c r="AD73" s="3" t="str">
        <f aca="false">IF(ISBLANK(N73),"",ABS(N73-SUMIFS($N$2:$N$205,$A$2:$A$205,$A73,$B$2:$B$205,$B73,$C$2:$C$205,100)))</f>
        <v/>
      </c>
      <c r="AE73" s="3" t="str">
        <f aca="false">IF(ISBLANK(O73),"",ABS(O73-SUMIFS($O$2:$O$205,$A$2:$A$205,$A73,$B$2:$B$205,$B73,$C$2:$C$205,100)))</f>
        <v/>
      </c>
      <c r="AF73" s="3" t="str">
        <f aca="false">IF(ISBLANK(P73),"",ABS(P73-SUMIFS($P$2:$P$205,$A$2:$A$205,$A73,$B$2:$B$205,$B73,$C$2:$C$205,100)))</f>
        <v/>
      </c>
      <c r="AG73" s="3" t="str">
        <f aca="false">IF(ISBLANK(Q73),"",ABS(Q73-SUMIFS($Q$2:$Q$205,$A$2:$A$205,$A73,$B$2:$B$205,$B73,$C$2:$C$205,100)))</f>
        <v/>
      </c>
      <c r="AH73" s="3" t="str">
        <f aca="false">IF(ISBLANK(R73),"",ABS(R73-SUMIFS($R$2:$R$205,$A$2:$A$205,$A73,$B$2:$B$205,$B73,$C$2:$C$205,100)))</f>
        <v/>
      </c>
      <c r="AI73" s="3" t="str">
        <f aca="false">IF(ISBLANK(S73),"",ABS(S73-SUMIFS($S$2:$S$205,$A$2:$A$205,$A73,$B$2:$B$205,$B73,$C$2:$C$205,100)))</f>
        <v/>
      </c>
      <c r="AJ73" s="3" t="n">
        <f aca="false">MAX(V73:AI73)</f>
        <v>3.14640424825541E-010</v>
      </c>
    </row>
    <row r="74" customFormat="false" ht="15" hidden="false" customHeight="false" outlineLevel="0" collapsed="false">
      <c r="A74" s="4" t="s">
        <v>42</v>
      </c>
      <c r="B74" s="4" t="s">
        <v>40</v>
      </c>
      <c r="C74" s="4" t="n">
        <v>100</v>
      </c>
      <c r="D74" s="5" t="n">
        <v>-527.884404509261</v>
      </c>
      <c r="E74" s="5" t="n">
        <v>-1.07383987405654</v>
      </c>
      <c r="F74" s="3" t="n">
        <v>-114.474534127122</v>
      </c>
      <c r="G74" s="3" t="n">
        <v>-11.1513772555884</v>
      </c>
      <c r="H74" s="3" t="n">
        <v>-8.73602371125864</v>
      </c>
      <c r="I74" s="3" t="n">
        <v>-1.0956320779637</v>
      </c>
      <c r="J74" s="3" t="n">
        <v>-0.58589161150225</v>
      </c>
      <c r="K74" s="3"/>
      <c r="L74" s="3"/>
      <c r="M74" s="3"/>
      <c r="N74" s="3"/>
      <c r="O74" s="3"/>
      <c r="P74" s="3"/>
      <c r="Q74" s="3"/>
      <c r="R74" s="3"/>
      <c r="S74" s="3"/>
      <c r="T74" s="3" t="n">
        <f aca="false">ABS(D74-SUMIFS($D$2:$D$205,$A$2:$A$205,$A74,$B$2:$B$205,$B74,$C$2:$C$205,100))</f>
        <v>0</v>
      </c>
      <c r="U74" s="3" t="n">
        <f aca="false">ABS(E74-SUMIFS($E$2:$E$205,$A$2:$A$205,$A74,$B$2:$B$205,$B74,$C$2:$C$205,100))</f>
        <v>0</v>
      </c>
      <c r="V74" s="3" t="n">
        <f aca="false">IF(ISBLANK(F74),"",ABS(F74-SUMIFS($F$2:$F$205,$A$2:$A$205,$A74,$B$2:$B$205,$B74,$C$2:$C$205,100)))</f>
        <v>0</v>
      </c>
      <c r="W74" s="3" t="n">
        <f aca="false">IF(ISBLANK(G74),"",ABS(G74-SUMIFS($G$2:$G$205,$A$2:$A$205,$A74,$B$2:$B$205,$B74,$C$2:$C$205,100)))</f>
        <v>0</v>
      </c>
      <c r="X74" s="3" t="n">
        <f aca="false">IF(ISBLANK(H74),"",ABS(H74-SUMIFS($H$2:$H$205,$A$2:$A$205,$A74,$B$2:$B$205,$B74,$C$2:$C$205,100)))</f>
        <v>0</v>
      </c>
      <c r="Y74" s="3" t="n">
        <f aca="false">IF(ISBLANK(I74),"",ABS(I74-SUMIFS($I$2:$I$205,$A$2:$A$205,$A74,$B$2:$B$205,$B74,$C$2:$C$205,100)))</f>
        <v>0</v>
      </c>
      <c r="Z74" s="3" t="n">
        <f aca="false">IF(ISBLANK(J74),"",ABS(J74-SUMIFS($J$2:$J$205,$A$2:$A$205,$A74,$B$2:$B$205,$B74,$C$2:$C$205,100)))</f>
        <v>0</v>
      </c>
      <c r="AA74" s="3" t="str">
        <f aca="false">IF(ISBLANK(K74),"",ABS(K74-SUMIFS($K$2:$K$205,$A$2:$A$205,$A74,$B$2:$B$205,$B74,$C$2:$C$205,100)))</f>
        <v/>
      </c>
      <c r="AB74" s="3" t="str">
        <f aca="false">IF(ISBLANK(L74),"",ABS(L74-SUMIFS($L$2:$L$205,$A$2:$A$205,$A74,$B$2:$B$205,$B74,$C$2:$C$205,100)))</f>
        <v/>
      </c>
      <c r="AC74" s="3" t="str">
        <f aca="false">IF(ISBLANK(M74),"",ABS(M74-SUMIFS($M$2:$M$205,$A$2:$A$205,$A74,$B$2:$B$205,$B74,$C$2:$C$205,100)))</f>
        <v/>
      </c>
      <c r="AD74" s="3" t="str">
        <f aca="false">IF(ISBLANK(N74),"",ABS(N74-SUMIFS($N$2:$N$205,$A$2:$A$205,$A74,$B$2:$B$205,$B74,$C$2:$C$205,100)))</f>
        <v/>
      </c>
      <c r="AE74" s="3" t="str">
        <f aca="false">IF(ISBLANK(O74),"",ABS(O74-SUMIFS($O$2:$O$205,$A$2:$A$205,$A74,$B$2:$B$205,$B74,$C$2:$C$205,100)))</f>
        <v/>
      </c>
      <c r="AF74" s="3" t="str">
        <f aca="false">IF(ISBLANK(P74),"",ABS(P74-SUMIFS($P$2:$P$205,$A$2:$A$205,$A74,$B$2:$B$205,$B74,$C$2:$C$205,100)))</f>
        <v/>
      </c>
      <c r="AG74" s="3" t="str">
        <f aca="false">IF(ISBLANK(Q74),"",ABS(Q74-SUMIFS($Q$2:$Q$205,$A$2:$A$205,$A74,$B$2:$B$205,$B74,$C$2:$C$205,100)))</f>
        <v/>
      </c>
      <c r="AH74" s="3" t="str">
        <f aca="false">IF(ISBLANK(R74),"",ABS(R74-SUMIFS($R$2:$R$205,$A$2:$A$205,$A74,$B$2:$B$205,$B74,$C$2:$C$205,100)))</f>
        <v/>
      </c>
      <c r="AI74" s="3" t="str">
        <f aca="false">IF(ISBLANK(S74),"",ABS(S74-SUMIFS($S$2:$S$205,$A$2:$A$205,$A74,$B$2:$B$205,$B74,$C$2:$C$205,100)))</f>
        <v/>
      </c>
      <c r="AJ74" s="3" t="n">
        <f aca="false">MAX(V74:AI74)</f>
        <v>0</v>
      </c>
    </row>
    <row r="75" customFormat="false" ht="15" hidden="false" customHeight="false" outlineLevel="0" collapsed="false">
      <c r="A75" s="2" t="s">
        <v>42</v>
      </c>
      <c r="B75" s="2" t="s">
        <v>41</v>
      </c>
      <c r="C75" s="2" t="n">
        <v>5</v>
      </c>
      <c r="D75" s="3" t="n">
        <v>-527.849687755267</v>
      </c>
      <c r="E75" s="3" t="n">
        <v>-1.03900768262898</v>
      </c>
      <c r="F75" s="3" t="n">
        <v>-114.476680211431</v>
      </c>
      <c r="G75" s="3" t="n">
        <v>-11.1845072319648</v>
      </c>
      <c r="H75" s="3" t="n">
        <v>-8.76819055531408</v>
      </c>
      <c r="I75" s="3" t="n">
        <v>-1.11207696818535</v>
      </c>
      <c r="J75" s="3" t="n">
        <v>-0.602222370941796</v>
      </c>
      <c r="K75" s="3"/>
      <c r="L75" s="3"/>
      <c r="M75" s="3"/>
      <c r="N75" s="3"/>
      <c r="O75" s="3"/>
      <c r="P75" s="3"/>
      <c r="Q75" s="3"/>
      <c r="R75" s="3"/>
      <c r="S75" s="3"/>
      <c r="T75" s="3" t="n">
        <f aca="false">ABS(D75-SUMIFS($D$2:$D$205,$A$2:$A$205,$A75,$B$2:$B$205,$B75,$C$2:$C$205,100))</f>
        <v>0.034759977904514</v>
      </c>
      <c r="U75" s="3" t="n">
        <f aca="false">ABS(E75-SUMIFS($E$2:$E$205,$A$2:$A$205,$A75,$B$2:$B$205,$B75,$C$2:$C$205,100))</f>
        <v>0.0348754033548899</v>
      </c>
      <c r="V75" s="3" t="n">
        <f aca="false">IF(ISBLANK(F75),"",ABS(F75-SUMIFS($F$2:$F$205,$A$2:$A$205,$A75,$B$2:$B$205,$B75,$C$2:$C$205,100)))</f>
        <v>0.00210787630480525</v>
      </c>
      <c r="W75" s="3" t="n">
        <f aca="false">IF(ISBLANK(G75),"",ABS(G75-SUMIFS($G$2:$G$205,$A$2:$A$205,$A75,$B$2:$B$205,$B75,$C$2:$C$205,100)))</f>
        <v>0.033126948064691</v>
      </c>
      <c r="X75" s="3" t="n">
        <f aca="false">IF(ISBLANK(H75),"",ABS(H75-SUMIFS($H$2:$H$205,$A$2:$A$205,$A75,$B$2:$B$205,$B75,$C$2:$C$205,100)))</f>
        <v>0.0321675041089353</v>
      </c>
      <c r="Y75" s="3" t="n">
        <f aca="false">IF(ISBLANK(I75),"",ABS(I75-SUMIFS($I$2:$I$205,$A$2:$A$205,$A75,$B$2:$B$205,$B75,$C$2:$C$205,100)))</f>
        <v>0.01644456309119</v>
      </c>
      <c r="Z75" s="3" t="n">
        <f aca="false">IF(ISBLANK(J75),"",ABS(J75-SUMIFS($J$2:$J$205,$A$2:$A$205,$A75,$B$2:$B$205,$B75,$C$2:$C$205,100)))</f>
        <v>0.0163308089213028</v>
      </c>
      <c r="AA75" s="3" t="str">
        <f aca="false">IF(ISBLANK(K75),"",ABS(K75-SUMIFS($K$2:$K$205,$A$2:$A$205,$A75,$B$2:$B$205,$B75,$C$2:$C$205,100)))</f>
        <v/>
      </c>
      <c r="AB75" s="3" t="str">
        <f aca="false">IF(ISBLANK(L75),"",ABS(L75-SUMIFS($L$2:$L$205,$A$2:$A$205,$A75,$B$2:$B$205,$B75,$C$2:$C$205,100)))</f>
        <v/>
      </c>
      <c r="AC75" s="3" t="str">
        <f aca="false">IF(ISBLANK(M75),"",ABS(M75-SUMIFS($M$2:$M$205,$A$2:$A$205,$A75,$B$2:$B$205,$B75,$C$2:$C$205,100)))</f>
        <v/>
      </c>
      <c r="AD75" s="3" t="str">
        <f aca="false">IF(ISBLANK(N75),"",ABS(N75-SUMIFS($N$2:$N$205,$A$2:$A$205,$A75,$B$2:$B$205,$B75,$C$2:$C$205,100)))</f>
        <v/>
      </c>
      <c r="AE75" s="3" t="str">
        <f aca="false">IF(ISBLANK(O75),"",ABS(O75-SUMIFS($O$2:$O$205,$A$2:$A$205,$A75,$B$2:$B$205,$B75,$C$2:$C$205,100)))</f>
        <v/>
      </c>
      <c r="AF75" s="3" t="str">
        <f aca="false">IF(ISBLANK(P75),"",ABS(P75-SUMIFS($P$2:$P$205,$A$2:$A$205,$A75,$B$2:$B$205,$B75,$C$2:$C$205,100)))</f>
        <v/>
      </c>
      <c r="AG75" s="3" t="str">
        <f aca="false">IF(ISBLANK(Q75),"",ABS(Q75-SUMIFS($Q$2:$Q$205,$A$2:$A$205,$A75,$B$2:$B$205,$B75,$C$2:$C$205,100)))</f>
        <v/>
      </c>
      <c r="AH75" s="3" t="str">
        <f aca="false">IF(ISBLANK(R75),"",ABS(R75-SUMIFS($R$2:$R$205,$A$2:$A$205,$A75,$B$2:$B$205,$B75,$C$2:$C$205,100)))</f>
        <v/>
      </c>
      <c r="AI75" s="3" t="str">
        <f aca="false">IF(ISBLANK(S75),"",ABS(S75-SUMIFS($S$2:$S$205,$A$2:$A$205,$A75,$B$2:$B$205,$B75,$C$2:$C$205,100)))</f>
        <v/>
      </c>
      <c r="AJ75" s="3" t="n">
        <f aca="false">MAX(V75:AI75)</f>
        <v>0.033126948064691</v>
      </c>
    </row>
    <row r="76" customFormat="false" ht="15" hidden="false" customHeight="false" outlineLevel="0" collapsed="false">
      <c r="A76" s="2" t="s">
        <v>42</v>
      </c>
      <c r="B76" s="2" t="s">
        <v>41</v>
      </c>
      <c r="C76" s="2" t="n">
        <v>10</v>
      </c>
      <c r="D76" s="3" t="n">
        <v>-527.875867536034</v>
      </c>
      <c r="E76" s="3" t="n">
        <v>-1.06531818562862</v>
      </c>
      <c r="F76" s="3" t="n">
        <v>-114.442486163795</v>
      </c>
      <c r="G76" s="3" t="n">
        <v>-11.1508812581221</v>
      </c>
      <c r="H76" s="3" t="n">
        <v>-8.73786699289301</v>
      </c>
      <c r="I76" s="3" t="n">
        <v>-1.09544894168385</v>
      </c>
      <c r="J76" s="3" t="n">
        <v>-0.58590851386919</v>
      </c>
      <c r="K76" s="3"/>
      <c r="L76" s="3"/>
      <c r="M76" s="3"/>
      <c r="N76" s="3"/>
      <c r="O76" s="3"/>
      <c r="P76" s="3"/>
      <c r="Q76" s="3"/>
      <c r="R76" s="3"/>
      <c r="S76" s="3"/>
      <c r="T76" s="3" t="n">
        <f aca="false">ABS(D76-SUMIFS($D$2:$D$205,$A$2:$A$205,$A76,$B$2:$B$205,$B76,$C$2:$C$205,100))</f>
        <v>0.00858019713689373</v>
      </c>
      <c r="U76" s="3" t="n">
        <f aca="false">ABS(E76-SUMIFS($E$2:$E$205,$A$2:$A$205,$A76,$B$2:$B$205,$B76,$C$2:$C$205,100))</f>
        <v>0.00856490035525104</v>
      </c>
      <c r="V76" s="3" t="n">
        <f aca="false">IF(ISBLANK(F76),"",ABS(F76-SUMIFS($F$2:$F$205,$A$2:$A$205,$A76,$B$2:$B$205,$B76,$C$2:$C$205,100)))</f>
        <v>0.032086171330505</v>
      </c>
      <c r="W76" s="3" t="n">
        <f aca="false">IF(ISBLANK(G76),"",ABS(G76-SUMIFS($G$2:$G$205,$A$2:$A$205,$A76,$B$2:$B$205,$B76,$C$2:$C$205,100)))</f>
        <v>0.0004990257780495</v>
      </c>
      <c r="X76" s="3" t="n">
        <f aca="false">IF(ISBLANK(H76),"",ABS(H76-SUMIFS($H$2:$H$205,$A$2:$A$205,$A76,$B$2:$B$205,$B76,$C$2:$C$205,100)))</f>
        <v>0.00184394168786639</v>
      </c>
      <c r="Y76" s="3" t="n">
        <f aca="false">IF(ISBLANK(I76),"",ABS(I76-SUMIFS($I$2:$I$205,$A$2:$A$205,$A76,$B$2:$B$205,$B76,$C$2:$C$205,100)))</f>
        <v>0.000183463410309059</v>
      </c>
      <c r="Z76" s="3" t="n">
        <f aca="false">IF(ISBLANK(J76),"",ABS(J76-SUMIFS($J$2:$J$205,$A$2:$A$205,$A76,$B$2:$B$205,$B76,$C$2:$C$205,100)))</f>
        <v>1.69518486969888E-005</v>
      </c>
      <c r="AA76" s="3" t="str">
        <f aca="false">IF(ISBLANK(K76),"",ABS(K76-SUMIFS($K$2:$K$205,$A$2:$A$205,$A76,$B$2:$B$205,$B76,$C$2:$C$205,100)))</f>
        <v/>
      </c>
      <c r="AB76" s="3" t="str">
        <f aca="false">IF(ISBLANK(L76),"",ABS(L76-SUMIFS($L$2:$L$205,$A$2:$A$205,$A76,$B$2:$B$205,$B76,$C$2:$C$205,100)))</f>
        <v/>
      </c>
      <c r="AC76" s="3" t="str">
        <f aca="false">IF(ISBLANK(M76),"",ABS(M76-SUMIFS($M$2:$M$205,$A$2:$A$205,$A76,$B$2:$B$205,$B76,$C$2:$C$205,100)))</f>
        <v/>
      </c>
      <c r="AD76" s="3" t="str">
        <f aca="false">IF(ISBLANK(N76),"",ABS(N76-SUMIFS($N$2:$N$205,$A$2:$A$205,$A76,$B$2:$B$205,$B76,$C$2:$C$205,100)))</f>
        <v/>
      </c>
      <c r="AE76" s="3" t="str">
        <f aca="false">IF(ISBLANK(O76),"",ABS(O76-SUMIFS($O$2:$O$205,$A$2:$A$205,$A76,$B$2:$B$205,$B76,$C$2:$C$205,100)))</f>
        <v/>
      </c>
      <c r="AF76" s="3" t="str">
        <f aca="false">IF(ISBLANK(P76),"",ABS(P76-SUMIFS($P$2:$P$205,$A$2:$A$205,$A76,$B$2:$B$205,$B76,$C$2:$C$205,100)))</f>
        <v/>
      </c>
      <c r="AG76" s="3" t="str">
        <f aca="false">IF(ISBLANK(Q76),"",ABS(Q76-SUMIFS($Q$2:$Q$205,$A$2:$A$205,$A76,$B$2:$B$205,$B76,$C$2:$C$205,100)))</f>
        <v/>
      </c>
      <c r="AH76" s="3" t="str">
        <f aca="false">IF(ISBLANK(R76),"",ABS(R76-SUMIFS($R$2:$R$205,$A$2:$A$205,$A76,$B$2:$B$205,$B76,$C$2:$C$205,100)))</f>
        <v/>
      </c>
      <c r="AI76" s="3" t="str">
        <f aca="false">IF(ISBLANK(S76),"",ABS(S76-SUMIFS($S$2:$S$205,$A$2:$A$205,$A76,$B$2:$B$205,$B76,$C$2:$C$205,100)))</f>
        <v/>
      </c>
      <c r="AJ76" s="3" t="n">
        <f aca="false">MAX(V76:AI76)</f>
        <v>0.032086171330505</v>
      </c>
    </row>
    <row r="77" customFormat="false" ht="15" hidden="false" customHeight="false" outlineLevel="0" collapsed="false">
      <c r="A77" s="2" t="s">
        <v>42</v>
      </c>
      <c r="B77" s="2" t="s">
        <v>41</v>
      </c>
      <c r="C77" s="2" t="n">
        <v>15</v>
      </c>
      <c r="D77" s="3" t="n">
        <v>-527.892765303707</v>
      </c>
      <c r="E77" s="3" t="n">
        <v>-1.08220429175434</v>
      </c>
      <c r="F77" s="3" t="n">
        <v>-114.471888494563</v>
      </c>
      <c r="G77" s="3" t="n">
        <v>-11.1509849902838</v>
      </c>
      <c r="H77" s="3" t="n">
        <v>-8.73644822033505</v>
      </c>
      <c r="I77" s="3" t="n">
        <v>-1.09557626740898</v>
      </c>
      <c r="J77" s="3" t="n">
        <v>-0.585907014558839</v>
      </c>
      <c r="K77" s="3"/>
      <c r="L77" s="3"/>
      <c r="M77" s="3"/>
      <c r="N77" s="3"/>
      <c r="O77" s="3"/>
      <c r="P77" s="3"/>
      <c r="Q77" s="3"/>
      <c r="R77" s="3"/>
      <c r="S77" s="3"/>
      <c r="T77" s="3" t="n">
        <f aca="false">ABS(D77-SUMIFS($D$2:$D$205,$A$2:$A$205,$A77,$B$2:$B$205,$B77,$C$2:$C$205,100))</f>
        <v>0.00831757053572346</v>
      </c>
      <c r="U77" s="3" t="n">
        <f aca="false">ABS(E77-SUMIFS($E$2:$E$205,$A$2:$A$205,$A77,$B$2:$B$205,$B77,$C$2:$C$205,100))</f>
        <v>0.00832120577047202</v>
      </c>
      <c r="V77" s="3" t="n">
        <f aca="false">IF(ISBLANK(F77),"",ABS(F77-SUMIFS($F$2:$F$205,$A$2:$A$205,$A77,$B$2:$B$205,$B77,$C$2:$C$205,100)))</f>
        <v>0.00268384056289506</v>
      </c>
      <c r="W77" s="3" t="n">
        <f aca="false">IF(ISBLANK(G77),"",ABS(G77-SUMIFS($G$2:$G$205,$A$2:$A$205,$A77,$B$2:$B$205,$B77,$C$2:$C$205,100)))</f>
        <v>0.000395293616339387</v>
      </c>
      <c r="X77" s="3" t="n">
        <f aca="false">IF(ISBLANK(H77),"",ABS(H77-SUMIFS($H$2:$H$205,$A$2:$A$205,$A77,$B$2:$B$205,$B77,$C$2:$C$205,100)))</f>
        <v>0.000425169129899317</v>
      </c>
      <c r="Y77" s="3" t="n">
        <f aca="false">IF(ISBLANK(I77),"",ABS(I77-SUMIFS($I$2:$I$205,$A$2:$A$205,$A77,$B$2:$B$205,$B77,$C$2:$C$205,100)))</f>
        <v>5.61376851790918E-005</v>
      </c>
      <c r="Z77" s="3" t="n">
        <f aca="false">IF(ISBLANK(J77),"",ABS(J77-SUMIFS($J$2:$J$205,$A$2:$A$205,$A77,$B$2:$B$205,$B77,$C$2:$C$205,100)))</f>
        <v>1.54525383464499E-005</v>
      </c>
      <c r="AA77" s="3" t="str">
        <f aca="false">IF(ISBLANK(K77),"",ABS(K77-SUMIFS($K$2:$K$205,$A$2:$A$205,$A77,$B$2:$B$205,$B77,$C$2:$C$205,100)))</f>
        <v/>
      </c>
      <c r="AB77" s="3" t="str">
        <f aca="false">IF(ISBLANK(L77),"",ABS(L77-SUMIFS($L$2:$L$205,$A$2:$A$205,$A77,$B$2:$B$205,$B77,$C$2:$C$205,100)))</f>
        <v/>
      </c>
      <c r="AC77" s="3" t="str">
        <f aca="false">IF(ISBLANK(M77),"",ABS(M77-SUMIFS($M$2:$M$205,$A$2:$A$205,$A77,$B$2:$B$205,$B77,$C$2:$C$205,100)))</f>
        <v/>
      </c>
      <c r="AD77" s="3" t="str">
        <f aca="false">IF(ISBLANK(N77),"",ABS(N77-SUMIFS($N$2:$N$205,$A$2:$A$205,$A77,$B$2:$B$205,$B77,$C$2:$C$205,100)))</f>
        <v/>
      </c>
      <c r="AE77" s="3" t="str">
        <f aca="false">IF(ISBLANK(O77),"",ABS(O77-SUMIFS($O$2:$O$205,$A$2:$A$205,$A77,$B$2:$B$205,$B77,$C$2:$C$205,100)))</f>
        <v/>
      </c>
      <c r="AF77" s="3" t="str">
        <f aca="false">IF(ISBLANK(P77),"",ABS(P77-SUMIFS($P$2:$P$205,$A$2:$A$205,$A77,$B$2:$B$205,$B77,$C$2:$C$205,100)))</f>
        <v/>
      </c>
      <c r="AG77" s="3" t="str">
        <f aca="false">IF(ISBLANK(Q77),"",ABS(Q77-SUMIFS($Q$2:$Q$205,$A$2:$A$205,$A77,$B$2:$B$205,$B77,$C$2:$C$205,100)))</f>
        <v/>
      </c>
      <c r="AH77" s="3" t="str">
        <f aca="false">IF(ISBLANK(R77),"",ABS(R77-SUMIFS($R$2:$R$205,$A$2:$A$205,$A77,$B$2:$B$205,$B77,$C$2:$C$205,100)))</f>
        <v/>
      </c>
      <c r="AI77" s="3" t="str">
        <f aca="false">IF(ISBLANK(S77),"",ABS(S77-SUMIFS($S$2:$S$205,$A$2:$A$205,$A77,$B$2:$B$205,$B77,$C$2:$C$205,100)))</f>
        <v/>
      </c>
      <c r="AJ77" s="3" t="n">
        <f aca="false">MAX(V77:AI77)</f>
        <v>0.00268384056289506</v>
      </c>
    </row>
    <row r="78" customFormat="false" ht="15" hidden="false" customHeight="false" outlineLevel="0" collapsed="false">
      <c r="A78" s="2" t="s">
        <v>42</v>
      </c>
      <c r="B78" s="2" t="s">
        <v>41</v>
      </c>
      <c r="C78" s="2" t="n">
        <v>20</v>
      </c>
      <c r="D78" s="3" t="n">
        <v>-527.891366708688</v>
      </c>
      <c r="E78" s="3" t="n">
        <v>-1.08080394194338</v>
      </c>
      <c r="F78" s="3" t="n">
        <v>-114.481257141391</v>
      </c>
      <c r="G78" s="3" t="n">
        <v>-11.1515163881025</v>
      </c>
      <c r="H78" s="3" t="n">
        <v>-8.73611301721214</v>
      </c>
      <c r="I78" s="3" t="n">
        <v>-1.09564069796085</v>
      </c>
      <c r="J78" s="3" t="n">
        <v>-0.58589506716478</v>
      </c>
      <c r="K78" s="3"/>
      <c r="L78" s="3"/>
      <c r="M78" s="3"/>
      <c r="N78" s="3"/>
      <c r="O78" s="3"/>
      <c r="P78" s="3"/>
      <c r="Q78" s="3"/>
      <c r="R78" s="3"/>
      <c r="S78" s="3"/>
      <c r="T78" s="3" t="n">
        <f aca="false">ABS(D78-SUMIFS($D$2:$D$205,$A$2:$A$205,$A78,$B$2:$B$205,$B78,$C$2:$C$205,100))</f>
        <v>0.00691897551701004</v>
      </c>
      <c r="U78" s="3" t="n">
        <f aca="false">ABS(E78-SUMIFS($E$2:$E$205,$A$2:$A$205,$A78,$B$2:$B$205,$B78,$C$2:$C$205,100))</f>
        <v>0.00692085595951109</v>
      </c>
      <c r="V78" s="3" t="n">
        <f aca="false">IF(ISBLANK(F78),"",ABS(F78-SUMIFS($F$2:$F$205,$A$2:$A$205,$A78,$B$2:$B$205,$B78,$C$2:$C$205,100)))</f>
        <v>0.00668480626470114</v>
      </c>
      <c r="W78" s="3" t="n">
        <f aca="false">IF(ISBLANK(G78),"",ABS(G78-SUMIFS($G$2:$G$205,$A$2:$A$205,$A78,$B$2:$B$205,$B78,$C$2:$C$205,100)))</f>
        <v>0.000136104202400844</v>
      </c>
      <c r="X78" s="3" t="n">
        <f aca="false">IF(ISBLANK(H78),"",ABS(H78-SUMIFS($H$2:$H$205,$A$2:$A$205,$A78,$B$2:$B$205,$B78,$C$2:$C$205,100)))</f>
        <v>8.99660069961783E-005</v>
      </c>
      <c r="Y78" s="3" t="n">
        <f aca="false">IF(ISBLANK(I78),"",ABS(I78-SUMIFS($I$2:$I$205,$A$2:$A$205,$A78,$B$2:$B$205,$B78,$C$2:$C$205,100)))</f>
        <v>8.29286669201679E-006</v>
      </c>
      <c r="Z78" s="3" t="n">
        <f aca="false">IF(ISBLANK(J78),"",ABS(J78-SUMIFS($J$2:$J$205,$A$2:$A$205,$A78,$B$2:$B$205,$B78,$C$2:$C$205,100)))</f>
        <v>3.50514428726356E-006</v>
      </c>
      <c r="AA78" s="3" t="str">
        <f aca="false">IF(ISBLANK(K78),"",ABS(K78-SUMIFS($K$2:$K$205,$A$2:$A$205,$A78,$B$2:$B$205,$B78,$C$2:$C$205,100)))</f>
        <v/>
      </c>
      <c r="AB78" s="3" t="str">
        <f aca="false">IF(ISBLANK(L78),"",ABS(L78-SUMIFS($L$2:$L$205,$A$2:$A$205,$A78,$B$2:$B$205,$B78,$C$2:$C$205,100)))</f>
        <v/>
      </c>
      <c r="AC78" s="3" t="str">
        <f aca="false">IF(ISBLANK(M78),"",ABS(M78-SUMIFS($M$2:$M$205,$A$2:$A$205,$A78,$B$2:$B$205,$B78,$C$2:$C$205,100)))</f>
        <v/>
      </c>
      <c r="AD78" s="3" t="str">
        <f aca="false">IF(ISBLANK(N78),"",ABS(N78-SUMIFS($N$2:$N$205,$A$2:$A$205,$A78,$B$2:$B$205,$B78,$C$2:$C$205,100)))</f>
        <v/>
      </c>
      <c r="AE78" s="3" t="str">
        <f aca="false">IF(ISBLANK(O78),"",ABS(O78-SUMIFS($O$2:$O$205,$A$2:$A$205,$A78,$B$2:$B$205,$B78,$C$2:$C$205,100)))</f>
        <v/>
      </c>
      <c r="AF78" s="3" t="str">
        <f aca="false">IF(ISBLANK(P78),"",ABS(P78-SUMIFS($P$2:$P$205,$A$2:$A$205,$A78,$B$2:$B$205,$B78,$C$2:$C$205,100)))</f>
        <v/>
      </c>
      <c r="AG78" s="3" t="str">
        <f aca="false">IF(ISBLANK(Q78),"",ABS(Q78-SUMIFS($Q$2:$Q$205,$A$2:$A$205,$A78,$B$2:$B$205,$B78,$C$2:$C$205,100)))</f>
        <v/>
      </c>
      <c r="AH78" s="3" t="str">
        <f aca="false">IF(ISBLANK(R78),"",ABS(R78-SUMIFS($R$2:$R$205,$A$2:$A$205,$A78,$B$2:$B$205,$B78,$C$2:$C$205,100)))</f>
        <v/>
      </c>
      <c r="AI78" s="3" t="str">
        <f aca="false">IF(ISBLANK(S78),"",ABS(S78-SUMIFS($S$2:$S$205,$A$2:$A$205,$A78,$B$2:$B$205,$B78,$C$2:$C$205,100)))</f>
        <v/>
      </c>
      <c r="AJ78" s="3" t="n">
        <f aca="false">MAX(V78:AI78)</f>
        <v>0.00668480626470114</v>
      </c>
    </row>
    <row r="79" customFormat="false" ht="15" hidden="false" customHeight="false" outlineLevel="0" collapsed="false">
      <c r="A79" s="2" t="s">
        <v>42</v>
      </c>
      <c r="B79" s="2" t="s">
        <v>41</v>
      </c>
      <c r="C79" s="2" t="n">
        <v>30</v>
      </c>
      <c r="D79" s="3" t="n">
        <v>-527.886770045408</v>
      </c>
      <c r="E79" s="3" t="n">
        <v>-1.07620582843039</v>
      </c>
      <c r="F79" s="3" t="n">
        <v>-114.476421546295</v>
      </c>
      <c r="G79" s="3" t="n">
        <v>-11.1514479131371</v>
      </c>
      <c r="H79" s="3" t="n">
        <v>-8.73601481806973</v>
      </c>
      <c r="I79" s="3" t="n">
        <v>-1.09563891373785</v>
      </c>
      <c r="J79" s="3" t="n">
        <v>-0.585890882443778</v>
      </c>
      <c r="K79" s="3"/>
      <c r="L79" s="3"/>
      <c r="M79" s="3"/>
      <c r="N79" s="3"/>
      <c r="O79" s="3"/>
      <c r="P79" s="3"/>
      <c r="Q79" s="3"/>
      <c r="R79" s="3"/>
      <c r="S79" s="3"/>
      <c r="T79" s="3" t="n">
        <f aca="false">ABS(D79-SUMIFS($D$2:$D$205,$A$2:$A$205,$A79,$B$2:$B$205,$B79,$C$2:$C$205,100))</f>
        <v>0.00232231223640156</v>
      </c>
      <c r="U79" s="3" t="n">
        <f aca="false">ABS(E79-SUMIFS($E$2:$E$205,$A$2:$A$205,$A79,$B$2:$B$205,$B79,$C$2:$C$205,100))</f>
        <v>0.00232274244651598</v>
      </c>
      <c r="V79" s="3" t="n">
        <f aca="false">IF(ISBLANK(F79),"",ABS(F79-SUMIFS($F$2:$F$205,$A$2:$A$205,$A79,$B$2:$B$205,$B79,$C$2:$C$205,100)))</f>
        <v>0.0018492111693007</v>
      </c>
      <c r="W79" s="3" t="n">
        <f aca="false">IF(ISBLANK(G79),"",ABS(G79-SUMIFS($G$2:$G$205,$A$2:$A$205,$A79,$B$2:$B$205,$B79,$C$2:$C$205,100)))</f>
        <v>6.76292370105358E-005</v>
      </c>
      <c r="X79" s="3" t="n">
        <f aca="false">IF(ISBLANK(H79),"",ABS(H79-SUMIFS($H$2:$H$205,$A$2:$A$205,$A79,$B$2:$B$205,$B79,$C$2:$C$205,100)))</f>
        <v>8.2331354196441E-006</v>
      </c>
      <c r="Y79" s="3" t="n">
        <f aca="false">IF(ISBLANK(I79),"",ABS(I79-SUMIFS($I$2:$I$205,$A$2:$A$205,$A79,$B$2:$B$205,$B79,$C$2:$C$205,100)))</f>
        <v>6.50864369888815E-006</v>
      </c>
      <c r="Z79" s="3" t="n">
        <f aca="false">IF(ISBLANK(J79),"",ABS(J79-SUMIFS($J$2:$J$205,$A$2:$A$205,$A79,$B$2:$B$205,$B79,$C$2:$C$205,100)))</f>
        <v>6.79576714901486E-007</v>
      </c>
      <c r="AA79" s="3" t="str">
        <f aca="false">IF(ISBLANK(K79),"",ABS(K79-SUMIFS($K$2:$K$205,$A$2:$A$205,$A79,$B$2:$B$205,$B79,$C$2:$C$205,100)))</f>
        <v/>
      </c>
      <c r="AB79" s="3" t="str">
        <f aca="false">IF(ISBLANK(L79),"",ABS(L79-SUMIFS($L$2:$L$205,$A$2:$A$205,$A79,$B$2:$B$205,$B79,$C$2:$C$205,100)))</f>
        <v/>
      </c>
      <c r="AC79" s="3" t="str">
        <f aca="false">IF(ISBLANK(M79),"",ABS(M79-SUMIFS($M$2:$M$205,$A$2:$A$205,$A79,$B$2:$B$205,$B79,$C$2:$C$205,100)))</f>
        <v/>
      </c>
      <c r="AD79" s="3" t="str">
        <f aca="false">IF(ISBLANK(N79),"",ABS(N79-SUMIFS($N$2:$N$205,$A$2:$A$205,$A79,$B$2:$B$205,$B79,$C$2:$C$205,100)))</f>
        <v/>
      </c>
      <c r="AE79" s="3" t="str">
        <f aca="false">IF(ISBLANK(O79),"",ABS(O79-SUMIFS($O$2:$O$205,$A$2:$A$205,$A79,$B$2:$B$205,$B79,$C$2:$C$205,100)))</f>
        <v/>
      </c>
      <c r="AF79" s="3" t="str">
        <f aca="false">IF(ISBLANK(P79),"",ABS(P79-SUMIFS($P$2:$P$205,$A$2:$A$205,$A79,$B$2:$B$205,$B79,$C$2:$C$205,100)))</f>
        <v/>
      </c>
      <c r="AG79" s="3" t="str">
        <f aca="false">IF(ISBLANK(Q79),"",ABS(Q79-SUMIFS($Q$2:$Q$205,$A$2:$A$205,$A79,$B$2:$B$205,$B79,$C$2:$C$205,100)))</f>
        <v/>
      </c>
      <c r="AH79" s="3" t="str">
        <f aca="false">IF(ISBLANK(R79),"",ABS(R79-SUMIFS($R$2:$R$205,$A$2:$A$205,$A79,$B$2:$B$205,$B79,$C$2:$C$205,100)))</f>
        <v/>
      </c>
      <c r="AI79" s="3" t="str">
        <f aca="false">IF(ISBLANK(S79),"",ABS(S79-SUMIFS($S$2:$S$205,$A$2:$A$205,$A79,$B$2:$B$205,$B79,$C$2:$C$205,100)))</f>
        <v/>
      </c>
      <c r="AJ79" s="3" t="n">
        <f aca="false">MAX(V79:AI79)</f>
        <v>0.0018492111693007</v>
      </c>
    </row>
    <row r="80" customFormat="false" ht="15" hidden="false" customHeight="false" outlineLevel="0" collapsed="false">
      <c r="A80" s="2" t="s">
        <v>42</v>
      </c>
      <c r="B80" s="2" t="s">
        <v>41</v>
      </c>
      <c r="C80" s="2" t="n">
        <v>50</v>
      </c>
      <c r="D80" s="3" t="n">
        <v>-527.884989107806</v>
      </c>
      <c r="E80" s="3" t="n">
        <v>-1.074424353273</v>
      </c>
      <c r="F80" s="3" t="n">
        <v>-114.475061333102</v>
      </c>
      <c r="G80" s="3" t="n">
        <v>-11.1514075467981</v>
      </c>
      <c r="H80" s="3" t="n">
        <v>-8.73601808898816</v>
      </c>
      <c r="I80" s="3" t="n">
        <v>-1.09563516893549</v>
      </c>
      <c r="J80" s="3" t="n">
        <v>-0.585891173496108</v>
      </c>
      <c r="K80" s="3"/>
      <c r="L80" s="3"/>
      <c r="M80" s="3"/>
      <c r="N80" s="3"/>
      <c r="O80" s="3"/>
      <c r="P80" s="3"/>
      <c r="Q80" s="3"/>
      <c r="R80" s="3"/>
      <c r="S80" s="3"/>
      <c r="T80" s="3" t="n">
        <f aca="false">ABS(D80-SUMIFS($D$2:$D$205,$A$2:$A$205,$A80,$B$2:$B$205,$B80,$C$2:$C$205,100))</f>
        <v>0.000541374635304237</v>
      </c>
      <c r="U80" s="3" t="n">
        <f aca="false">ABS(E80-SUMIFS($E$2:$E$205,$A$2:$A$205,$A80,$B$2:$B$205,$B80,$C$2:$C$205,100))</f>
        <v>0.000541267289132064</v>
      </c>
      <c r="V80" s="3" t="n">
        <f aca="false">IF(ISBLANK(F80),"",ABS(F80-SUMIFS($F$2:$F$205,$A$2:$A$205,$A80,$B$2:$B$205,$B80,$C$2:$C$205,100)))</f>
        <v>0.000488997976006544</v>
      </c>
      <c r="W80" s="3" t="n">
        <f aca="false">IF(ISBLANK(G80),"",ABS(G80-SUMIFS($G$2:$G$205,$A$2:$A$205,$A80,$B$2:$B$205,$B80,$C$2:$C$205,100)))</f>
        <v>2.72628979196554E-005</v>
      </c>
      <c r="X80" s="3" t="n">
        <f aca="false">IF(ISBLANK(H80),"",ABS(H80-SUMIFS($H$2:$H$205,$A$2:$A$205,$A80,$B$2:$B$205,$B80,$C$2:$C$205,100)))</f>
        <v>4.96221698575994E-006</v>
      </c>
      <c r="Y80" s="3" t="n">
        <f aca="false">IF(ISBLANK(I80),"",ABS(I80-SUMIFS($I$2:$I$205,$A$2:$A$205,$A80,$B$2:$B$205,$B80,$C$2:$C$205,100)))</f>
        <v>2.76384133401919E-006</v>
      </c>
      <c r="Z80" s="3" t="n">
        <f aca="false">IF(ISBLANK(J80),"",ABS(J80-SUMIFS($J$2:$J$205,$A$2:$A$205,$A80,$B$2:$B$205,$B80,$C$2:$C$205,100)))</f>
        <v>3.88524384886679E-007</v>
      </c>
      <c r="AA80" s="3" t="str">
        <f aca="false">IF(ISBLANK(K80),"",ABS(K80-SUMIFS($K$2:$K$205,$A$2:$A$205,$A80,$B$2:$B$205,$B80,$C$2:$C$205,100)))</f>
        <v/>
      </c>
      <c r="AB80" s="3" t="str">
        <f aca="false">IF(ISBLANK(L80),"",ABS(L80-SUMIFS($L$2:$L$205,$A$2:$A$205,$A80,$B$2:$B$205,$B80,$C$2:$C$205,100)))</f>
        <v/>
      </c>
      <c r="AC80" s="3" t="str">
        <f aca="false">IF(ISBLANK(M80),"",ABS(M80-SUMIFS($M$2:$M$205,$A$2:$A$205,$A80,$B$2:$B$205,$B80,$C$2:$C$205,100)))</f>
        <v/>
      </c>
      <c r="AD80" s="3" t="str">
        <f aca="false">IF(ISBLANK(N80),"",ABS(N80-SUMIFS($N$2:$N$205,$A$2:$A$205,$A80,$B$2:$B$205,$B80,$C$2:$C$205,100)))</f>
        <v/>
      </c>
      <c r="AE80" s="3" t="str">
        <f aca="false">IF(ISBLANK(O80),"",ABS(O80-SUMIFS($O$2:$O$205,$A$2:$A$205,$A80,$B$2:$B$205,$B80,$C$2:$C$205,100)))</f>
        <v/>
      </c>
      <c r="AF80" s="3" t="str">
        <f aca="false">IF(ISBLANK(P80),"",ABS(P80-SUMIFS($P$2:$P$205,$A$2:$A$205,$A80,$B$2:$B$205,$B80,$C$2:$C$205,100)))</f>
        <v/>
      </c>
      <c r="AG80" s="3" t="str">
        <f aca="false">IF(ISBLANK(Q80),"",ABS(Q80-SUMIFS($Q$2:$Q$205,$A$2:$A$205,$A80,$B$2:$B$205,$B80,$C$2:$C$205,100)))</f>
        <v/>
      </c>
      <c r="AH80" s="3" t="str">
        <f aca="false">IF(ISBLANK(R80),"",ABS(R80-SUMIFS($R$2:$R$205,$A$2:$A$205,$A80,$B$2:$B$205,$B80,$C$2:$C$205,100)))</f>
        <v/>
      </c>
      <c r="AI80" s="3" t="str">
        <f aca="false">IF(ISBLANK(S80),"",ABS(S80-SUMIFS($S$2:$S$205,$A$2:$A$205,$A80,$B$2:$B$205,$B80,$C$2:$C$205,100)))</f>
        <v/>
      </c>
      <c r="AJ80" s="3" t="n">
        <f aca="false">MAX(V80:AI80)</f>
        <v>0.000488997976006544</v>
      </c>
    </row>
    <row r="81" customFormat="false" ht="15" hidden="false" customHeight="false" outlineLevel="0" collapsed="false">
      <c r="A81" s="2" t="s">
        <v>42</v>
      </c>
      <c r="B81" s="2" t="s">
        <v>41</v>
      </c>
      <c r="C81" s="2" t="n">
        <v>80</v>
      </c>
      <c r="D81" s="3" t="n">
        <v>-527.884518265217</v>
      </c>
      <c r="E81" s="3" t="n">
        <v>-1.07395359795614</v>
      </c>
      <c r="F81" s="3" t="n">
        <v>-114.474633215884</v>
      </c>
      <c r="G81" s="3" t="n">
        <v>-11.1513845532907</v>
      </c>
      <c r="H81" s="3" t="n">
        <v>-8.736022201181</v>
      </c>
      <c r="I81" s="3" t="n">
        <v>-1.09563285305004</v>
      </c>
      <c r="J81" s="3" t="n">
        <v>-0.58589149341137</v>
      </c>
      <c r="K81" s="3"/>
      <c r="L81" s="3"/>
      <c r="M81" s="3"/>
      <c r="N81" s="3"/>
      <c r="O81" s="3"/>
      <c r="P81" s="3"/>
      <c r="Q81" s="3"/>
      <c r="R81" s="3"/>
      <c r="S81" s="3"/>
      <c r="T81" s="3" t="n">
        <f aca="false">ABS(D81-SUMIFS($D$2:$D$205,$A$2:$A$205,$A81,$B$2:$B$205,$B81,$C$2:$C$205,100))</f>
        <v>7.05320453562308E-005</v>
      </c>
      <c r="U81" s="3" t="n">
        <f aca="false">ABS(E81-SUMIFS($E$2:$E$205,$A$2:$A$205,$A81,$B$2:$B$205,$B81,$C$2:$C$205,100))</f>
        <v>7.05119722650416E-005</v>
      </c>
      <c r="V81" s="3" t="n">
        <f aca="false">IF(ISBLANK(F81),"",ABS(F81-SUMIFS($F$2:$F$205,$A$2:$A$205,$A81,$B$2:$B$205,$B81,$C$2:$C$205,100)))</f>
        <v>6.08807581983228E-005</v>
      </c>
      <c r="W81" s="3" t="n">
        <f aca="false">IF(ISBLANK(G81),"",ABS(G81-SUMIFS($G$2:$G$205,$A$2:$A$205,$A81,$B$2:$B$205,$B81,$C$2:$C$205,100)))</f>
        <v>4.26939057085463E-006</v>
      </c>
      <c r="X81" s="3" t="n">
        <f aca="false">IF(ISBLANK(H81),"",ABS(H81-SUMIFS($H$2:$H$205,$A$2:$A$205,$A81,$B$2:$B$205,$B81,$C$2:$C$205,100)))</f>
        <v>8.50024148846273E-007</v>
      </c>
      <c r="Y81" s="3" t="n">
        <f aca="false">IF(ISBLANK(I81),"",ABS(I81-SUMIFS($I$2:$I$205,$A$2:$A$205,$A81,$B$2:$B$205,$B81,$C$2:$C$205,100)))</f>
        <v>4.47955885940488E-007</v>
      </c>
      <c r="Z81" s="3" t="n">
        <f aca="false">IF(ISBLANK(J81),"",ABS(J81-SUMIFS($J$2:$J$205,$A$2:$A$205,$A81,$B$2:$B$205,$B81,$C$2:$C$205,100)))</f>
        <v>6.86091228274677E-008</v>
      </c>
      <c r="AA81" s="3" t="str">
        <f aca="false">IF(ISBLANK(K81),"",ABS(K81-SUMIFS($K$2:$K$205,$A$2:$A$205,$A81,$B$2:$B$205,$B81,$C$2:$C$205,100)))</f>
        <v/>
      </c>
      <c r="AB81" s="3" t="str">
        <f aca="false">IF(ISBLANK(L81),"",ABS(L81-SUMIFS($L$2:$L$205,$A$2:$A$205,$A81,$B$2:$B$205,$B81,$C$2:$C$205,100)))</f>
        <v/>
      </c>
      <c r="AC81" s="3" t="str">
        <f aca="false">IF(ISBLANK(M81),"",ABS(M81-SUMIFS($M$2:$M$205,$A$2:$A$205,$A81,$B$2:$B$205,$B81,$C$2:$C$205,100)))</f>
        <v/>
      </c>
      <c r="AD81" s="3" t="str">
        <f aca="false">IF(ISBLANK(N81),"",ABS(N81-SUMIFS($N$2:$N$205,$A$2:$A$205,$A81,$B$2:$B$205,$B81,$C$2:$C$205,100)))</f>
        <v/>
      </c>
      <c r="AE81" s="3" t="str">
        <f aca="false">IF(ISBLANK(O81),"",ABS(O81-SUMIFS($O$2:$O$205,$A$2:$A$205,$A81,$B$2:$B$205,$B81,$C$2:$C$205,100)))</f>
        <v/>
      </c>
      <c r="AF81" s="3" t="str">
        <f aca="false">IF(ISBLANK(P81),"",ABS(P81-SUMIFS($P$2:$P$205,$A$2:$A$205,$A81,$B$2:$B$205,$B81,$C$2:$C$205,100)))</f>
        <v/>
      </c>
      <c r="AG81" s="3" t="str">
        <f aca="false">IF(ISBLANK(Q81),"",ABS(Q81-SUMIFS($Q$2:$Q$205,$A$2:$A$205,$A81,$B$2:$B$205,$B81,$C$2:$C$205,100)))</f>
        <v/>
      </c>
      <c r="AH81" s="3" t="str">
        <f aca="false">IF(ISBLANK(R81),"",ABS(R81-SUMIFS($R$2:$R$205,$A$2:$A$205,$A81,$B$2:$B$205,$B81,$C$2:$C$205,100)))</f>
        <v/>
      </c>
      <c r="AI81" s="3" t="str">
        <f aca="false">IF(ISBLANK(S81),"",ABS(S81-SUMIFS($S$2:$S$205,$A$2:$A$205,$A81,$B$2:$B$205,$B81,$C$2:$C$205,100)))</f>
        <v/>
      </c>
      <c r="AJ81" s="3" t="n">
        <f aca="false">MAX(V81:AI81)</f>
        <v>6.08807581983228E-005</v>
      </c>
    </row>
    <row r="82" customFormat="false" ht="15" hidden="false" customHeight="false" outlineLevel="0" collapsed="false">
      <c r="A82" s="4" t="s">
        <v>42</v>
      </c>
      <c r="B82" s="4" t="s">
        <v>41</v>
      </c>
      <c r="C82" s="4" t="n">
        <v>100</v>
      </c>
      <c r="D82" s="5" t="n">
        <v>-527.884447733171</v>
      </c>
      <c r="E82" s="5" t="n">
        <v>-1.07388308598387</v>
      </c>
      <c r="F82" s="3" t="n">
        <v>-114.474572335126</v>
      </c>
      <c r="G82" s="3" t="n">
        <v>-11.1513802839001</v>
      </c>
      <c r="H82" s="3" t="n">
        <v>-8.73602305120515</v>
      </c>
      <c r="I82" s="3" t="n">
        <v>-1.09563240509416</v>
      </c>
      <c r="J82" s="3" t="n">
        <v>-0.585891562020493</v>
      </c>
      <c r="K82" s="3"/>
      <c r="L82" s="3"/>
      <c r="M82" s="3"/>
      <c r="N82" s="3"/>
      <c r="O82" s="3"/>
      <c r="P82" s="3"/>
      <c r="Q82" s="3"/>
      <c r="R82" s="3"/>
      <c r="S82" s="3"/>
      <c r="T82" s="3" t="n">
        <f aca="false">ABS(D82-SUMIFS($D$2:$D$205,$A$2:$A$205,$A82,$B$2:$B$205,$B82,$C$2:$C$205,100))</f>
        <v>0</v>
      </c>
      <c r="U82" s="3" t="n">
        <f aca="false">ABS(E82-SUMIFS($E$2:$E$205,$A$2:$A$205,$A82,$B$2:$B$205,$B82,$C$2:$C$205,100))</f>
        <v>0</v>
      </c>
      <c r="V82" s="3" t="n">
        <f aca="false">IF(ISBLANK(F82),"",ABS(F82-SUMIFS($F$2:$F$205,$A$2:$A$205,$A82,$B$2:$B$205,$B82,$C$2:$C$205,100)))</f>
        <v>0</v>
      </c>
      <c r="W82" s="3" t="n">
        <f aca="false">IF(ISBLANK(G82),"",ABS(G82-SUMIFS($G$2:$G$205,$A$2:$A$205,$A82,$B$2:$B$205,$B82,$C$2:$C$205,100)))</f>
        <v>0</v>
      </c>
      <c r="X82" s="3" t="n">
        <f aca="false">IF(ISBLANK(H82),"",ABS(H82-SUMIFS($H$2:$H$205,$A$2:$A$205,$A82,$B$2:$B$205,$B82,$C$2:$C$205,100)))</f>
        <v>0</v>
      </c>
      <c r="Y82" s="3" t="n">
        <f aca="false">IF(ISBLANK(I82),"",ABS(I82-SUMIFS($I$2:$I$205,$A$2:$A$205,$A82,$B$2:$B$205,$B82,$C$2:$C$205,100)))</f>
        <v>0</v>
      </c>
      <c r="Z82" s="3" t="n">
        <f aca="false">IF(ISBLANK(J82),"",ABS(J82-SUMIFS($J$2:$J$205,$A$2:$A$205,$A82,$B$2:$B$205,$B82,$C$2:$C$205,100)))</f>
        <v>0</v>
      </c>
      <c r="AA82" s="3" t="str">
        <f aca="false">IF(ISBLANK(K82),"",ABS(K82-SUMIFS($K$2:$K$205,$A$2:$A$205,$A82,$B$2:$B$205,$B82,$C$2:$C$205,100)))</f>
        <v/>
      </c>
      <c r="AB82" s="3" t="str">
        <f aca="false">IF(ISBLANK(L82),"",ABS(L82-SUMIFS($L$2:$L$205,$A$2:$A$205,$A82,$B$2:$B$205,$B82,$C$2:$C$205,100)))</f>
        <v/>
      </c>
      <c r="AC82" s="3" t="str">
        <f aca="false">IF(ISBLANK(M82),"",ABS(M82-SUMIFS($M$2:$M$205,$A$2:$A$205,$A82,$B$2:$B$205,$B82,$C$2:$C$205,100)))</f>
        <v/>
      </c>
      <c r="AD82" s="3" t="str">
        <f aca="false">IF(ISBLANK(N82),"",ABS(N82-SUMIFS($N$2:$N$205,$A$2:$A$205,$A82,$B$2:$B$205,$B82,$C$2:$C$205,100)))</f>
        <v/>
      </c>
      <c r="AE82" s="3" t="str">
        <f aca="false">IF(ISBLANK(O82),"",ABS(O82-SUMIFS($O$2:$O$205,$A$2:$A$205,$A82,$B$2:$B$205,$B82,$C$2:$C$205,100)))</f>
        <v/>
      </c>
      <c r="AF82" s="3" t="str">
        <f aca="false">IF(ISBLANK(P82),"",ABS(P82-SUMIFS($P$2:$P$205,$A$2:$A$205,$A82,$B$2:$B$205,$B82,$C$2:$C$205,100)))</f>
        <v/>
      </c>
      <c r="AG82" s="3" t="str">
        <f aca="false">IF(ISBLANK(Q82),"",ABS(Q82-SUMIFS($Q$2:$Q$205,$A$2:$A$205,$A82,$B$2:$B$205,$B82,$C$2:$C$205,100)))</f>
        <v/>
      </c>
      <c r="AH82" s="3" t="str">
        <f aca="false">IF(ISBLANK(R82),"",ABS(R82-SUMIFS($R$2:$R$205,$A$2:$A$205,$A82,$B$2:$B$205,$B82,$C$2:$C$205,100)))</f>
        <v/>
      </c>
      <c r="AI82" s="3" t="str">
        <f aca="false">IF(ISBLANK(S82),"",ABS(S82-SUMIFS($S$2:$S$205,$A$2:$A$205,$A82,$B$2:$B$205,$B82,$C$2:$C$205,100)))</f>
        <v/>
      </c>
      <c r="AJ82" s="3" t="n">
        <f aca="false">MAX(V82:AI82)</f>
        <v>0</v>
      </c>
    </row>
    <row r="83" customFormat="false" ht="15" hidden="false" customHeight="false" outlineLevel="0" collapsed="false">
      <c r="A83" s="2" t="s">
        <v>43</v>
      </c>
      <c r="B83" s="2" t="s">
        <v>37</v>
      </c>
      <c r="C83" s="2" t="n">
        <v>5</v>
      </c>
      <c r="D83" s="3" t="n">
        <v>-1779.93316917533</v>
      </c>
      <c r="E83" s="3" t="n">
        <v>-2.14827764457028</v>
      </c>
      <c r="F83" s="3" t="n">
        <v>-345.844600923779</v>
      </c>
      <c r="G83" s="3" t="n">
        <v>-41.844810735796</v>
      </c>
      <c r="H83" s="3" t="n">
        <v>-36.8648024945987</v>
      </c>
      <c r="I83" s="3" t="n">
        <v>-4.74080321682037</v>
      </c>
      <c r="J83" s="3" t="n">
        <v>-3.16119384202767</v>
      </c>
      <c r="K83" s="3" t="n">
        <v>-0.525415260462372</v>
      </c>
      <c r="L83" s="3" t="n">
        <v>-0.355758593587439</v>
      </c>
      <c r="M83" s="3"/>
      <c r="N83" s="3"/>
      <c r="O83" s="3"/>
      <c r="P83" s="3"/>
      <c r="Q83" s="3"/>
      <c r="R83" s="3"/>
      <c r="S83" s="3"/>
      <c r="T83" s="3" t="n">
        <f aca="false">ABS(D83-SUMIFS($D$2:$D$205,$A$2:$A$205,$A83,$B$2:$B$205,$B83,$C$2:$C$205,100))</f>
        <v>0.0438515860519146</v>
      </c>
      <c r="U83" s="3" t="n">
        <f aca="false">ABS(E83-SUMIFS($E$2:$E$205,$A$2:$A$205,$A83,$B$2:$B$205,$B83,$C$2:$C$205,100))</f>
        <v>0.0106475532347488</v>
      </c>
      <c r="V83" s="3" t="n">
        <f aca="false">IF(ISBLANK(F83),"",ABS(F83-SUMIFS($F$2:$F$205,$A$2:$A$205,$A83,$B$2:$B$205,$B83,$C$2:$C$205,100)))</f>
        <v>0.00689733311287455</v>
      </c>
      <c r="W83" s="3" t="n">
        <f aca="false">IF(ISBLANK(G83),"",ABS(G83-SUMIFS($G$2:$G$205,$A$2:$A$205,$A83,$B$2:$B$205,$B83,$C$2:$C$205,100)))</f>
        <v>0.041714555909536</v>
      </c>
      <c r="X83" s="3" t="n">
        <f aca="false">IF(ISBLANK(H83),"",ABS(H83-SUMIFS($H$2:$H$205,$A$2:$A$205,$A83,$B$2:$B$205,$B83,$C$2:$C$205,100)))</f>
        <v>0.034183631341854</v>
      </c>
      <c r="Y83" s="3" t="n">
        <f aca="false">IF(ISBLANK(I83),"",ABS(I83-SUMIFS($I$2:$I$205,$A$2:$A$205,$A83,$B$2:$B$205,$B83,$C$2:$C$205,100)))</f>
        <v>0.0340833355439445</v>
      </c>
      <c r="Z83" s="3" t="n">
        <f aca="false">IF(ISBLANK(J83),"",ABS(J83-SUMIFS($J$2:$J$205,$A$2:$A$205,$A83,$B$2:$B$205,$B83,$C$2:$C$205,100)))</f>
        <v>0.0342204503058232</v>
      </c>
      <c r="AA83" s="3" t="n">
        <f aca="false">IF(ISBLANK(K83),"",ABS(K83-SUMIFS($K$2:$K$205,$A$2:$A$205,$A83,$B$2:$B$205,$B83,$C$2:$C$205,100)))</f>
        <v>0.0202588484970485</v>
      </c>
      <c r="AB83" s="3" t="n">
        <f aca="false">IF(ISBLANK(L83),"",ABS(L83-SUMIFS($L$2:$L$205,$A$2:$A$205,$A83,$B$2:$B$205,$B83,$C$2:$C$205,100)))</f>
        <v>0.00380587710889219</v>
      </c>
      <c r="AC83" s="3" t="str">
        <f aca="false">IF(ISBLANK(M83),"",ABS(M83-SUMIFS($M$2:$M$205,$A$2:$A$205,$A83,$B$2:$B$205,$B83,$C$2:$C$205,100)))</f>
        <v/>
      </c>
      <c r="AD83" s="3" t="str">
        <f aca="false">IF(ISBLANK(N83),"",ABS(N83-SUMIFS($N$2:$N$205,$A$2:$A$205,$A83,$B$2:$B$205,$B83,$C$2:$C$205,100)))</f>
        <v/>
      </c>
      <c r="AE83" s="3" t="str">
        <f aca="false">IF(ISBLANK(O83),"",ABS(O83-SUMIFS($O$2:$O$205,$A$2:$A$205,$A83,$B$2:$B$205,$B83,$C$2:$C$205,100)))</f>
        <v/>
      </c>
      <c r="AF83" s="3" t="str">
        <f aca="false">IF(ISBLANK(P83),"",ABS(P83-SUMIFS($P$2:$P$205,$A$2:$A$205,$A83,$B$2:$B$205,$B83,$C$2:$C$205,100)))</f>
        <v/>
      </c>
      <c r="AG83" s="3" t="str">
        <f aca="false">IF(ISBLANK(Q83),"",ABS(Q83-SUMIFS($Q$2:$Q$205,$A$2:$A$205,$A83,$B$2:$B$205,$B83,$C$2:$C$205,100)))</f>
        <v/>
      </c>
      <c r="AH83" s="3" t="str">
        <f aca="false">IF(ISBLANK(R83),"",ABS(R83-SUMIFS($R$2:$R$205,$A$2:$A$205,$A83,$B$2:$B$205,$B83,$C$2:$C$205,100)))</f>
        <v/>
      </c>
      <c r="AI83" s="3" t="str">
        <f aca="false">IF(ISBLANK(S83),"",ABS(S83-SUMIFS($S$2:$S$205,$A$2:$A$205,$A83,$B$2:$B$205,$B83,$C$2:$C$205,100)))</f>
        <v/>
      </c>
      <c r="AJ83" s="3" t="n">
        <f aca="false">MAX(V83:AI83)</f>
        <v>0.041714555909536</v>
      </c>
    </row>
    <row r="84" customFormat="false" ht="15" hidden="false" customHeight="false" outlineLevel="0" collapsed="false">
      <c r="A84" s="2" t="s">
        <v>43</v>
      </c>
      <c r="B84" s="2" t="s">
        <v>37</v>
      </c>
      <c r="C84" s="2" t="n">
        <v>10</v>
      </c>
      <c r="D84" s="3" t="n">
        <v>-1779.94970775144</v>
      </c>
      <c r="E84" s="3" t="n">
        <v>-2.13474985912346</v>
      </c>
      <c r="F84" s="3" t="n">
        <v>-345.845911119102</v>
      </c>
      <c r="G84" s="3" t="n">
        <v>-41.8108024925676</v>
      </c>
      <c r="H84" s="3" t="n">
        <v>-36.8362426086301</v>
      </c>
      <c r="I84" s="3" t="n">
        <v>-4.7794472349941</v>
      </c>
      <c r="J84" s="3" t="n">
        <v>-3.2000479246457</v>
      </c>
      <c r="K84" s="3" t="n">
        <v>-0.551988337979726</v>
      </c>
      <c r="L84" s="3" t="n">
        <v>-0.354074910913039</v>
      </c>
      <c r="M84" s="3"/>
      <c r="N84" s="3"/>
      <c r="O84" s="3"/>
      <c r="P84" s="3"/>
      <c r="Q84" s="3"/>
      <c r="R84" s="3"/>
      <c r="S84" s="3"/>
      <c r="T84" s="3" t="n">
        <f aca="false">ABS(D84-SUMIFS($D$2:$D$205,$A$2:$A$205,$A84,$B$2:$B$205,$B84,$C$2:$C$205,100))</f>
        <v>0.0273130099387799</v>
      </c>
      <c r="U84" s="3" t="n">
        <f aca="false">ABS(E84-SUMIFS($E$2:$E$205,$A$2:$A$205,$A84,$B$2:$B$205,$B84,$C$2:$C$205,100))</f>
        <v>0.0241753386815669</v>
      </c>
      <c r="V84" s="3" t="n">
        <f aca="false">IF(ISBLANK(F84),"",ABS(F84-SUMIFS($F$2:$F$205,$A$2:$A$205,$A84,$B$2:$B$205,$B84,$C$2:$C$205,100)))</f>
        <v>0.00820752843600303</v>
      </c>
      <c r="W84" s="3" t="n">
        <f aca="false">IF(ISBLANK(G84),"",ABS(G84-SUMIFS($G$2:$G$205,$A$2:$A$205,$A84,$B$2:$B$205,$B84,$C$2:$C$205,100)))</f>
        <v>0.00770631268113675</v>
      </c>
      <c r="X84" s="3" t="n">
        <f aca="false">IF(ISBLANK(H84),"",ABS(H84-SUMIFS($H$2:$H$205,$A$2:$A$205,$A84,$B$2:$B$205,$B84,$C$2:$C$205,100)))</f>
        <v>0.00562374537318533</v>
      </c>
      <c r="Y84" s="3" t="n">
        <f aca="false">IF(ISBLANK(I84),"",ABS(I84-SUMIFS($I$2:$I$205,$A$2:$A$205,$A84,$B$2:$B$205,$B84,$C$2:$C$205,100)))</f>
        <v>0.00456068262978349</v>
      </c>
      <c r="Z84" s="3" t="n">
        <f aca="false">IF(ISBLANK(J84),"",ABS(J84-SUMIFS($J$2:$J$205,$A$2:$A$205,$A84,$B$2:$B$205,$B84,$C$2:$C$205,100)))</f>
        <v>0.00463363231220493</v>
      </c>
      <c r="AA84" s="3" t="n">
        <f aca="false">IF(ISBLANK(K84),"",ABS(K84-SUMIFS($K$2:$K$205,$A$2:$A$205,$A84,$B$2:$B$205,$B84,$C$2:$C$205,100)))</f>
        <v>0.00631422902030598</v>
      </c>
      <c r="AB84" s="3" t="n">
        <f aca="false">IF(ISBLANK(L84),"",ABS(L84-SUMIFS($L$2:$L$205,$A$2:$A$205,$A84,$B$2:$B$205,$B84,$C$2:$C$205,100)))</f>
        <v>0.00212219443449158</v>
      </c>
      <c r="AC84" s="3" t="str">
        <f aca="false">IF(ISBLANK(M84),"",ABS(M84-SUMIFS($M$2:$M$205,$A$2:$A$205,$A84,$B$2:$B$205,$B84,$C$2:$C$205,100)))</f>
        <v/>
      </c>
      <c r="AD84" s="3" t="str">
        <f aca="false">IF(ISBLANK(N84),"",ABS(N84-SUMIFS($N$2:$N$205,$A$2:$A$205,$A84,$B$2:$B$205,$B84,$C$2:$C$205,100)))</f>
        <v/>
      </c>
      <c r="AE84" s="3" t="str">
        <f aca="false">IF(ISBLANK(O84),"",ABS(O84-SUMIFS($O$2:$O$205,$A$2:$A$205,$A84,$B$2:$B$205,$B84,$C$2:$C$205,100)))</f>
        <v/>
      </c>
      <c r="AF84" s="3" t="str">
        <f aca="false">IF(ISBLANK(P84),"",ABS(P84-SUMIFS($P$2:$P$205,$A$2:$A$205,$A84,$B$2:$B$205,$B84,$C$2:$C$205,100)))</f>
        <v/>
      </c>
      <c r="AG84" s="3" t="str">
        <f aca="false">IF(ISBLANK(Q84),"",ABS(Q84-SUMIFS($Q$2:$Q$205,$A$2:$A$205,$A84,$B$2:$B$205,$B84,$C$2:$C$205,100)))</f>
        <v/>
      </c>
      <c r="AH84" s="3" t="str">
        <f aca="false">IF(ISBLANK(R84),"",ABS(R84-SUMIFS($R$2:$R$205,$A$2:$A$205,$A84,$B$2:$B$205,$B84,$C$2:$C$205,100)))</f>
        <v/>
      </c>
      <c r="AI84" s="3" t="str">
        <f aca="false">IF(ISBLANK(S84),"",ABS(S84-SUMIFS($S$2:$S$205,$A$2:$A$205,$A84,$B$2:$B$205,$B84,$C$2:$C$205,100)))</f>
        <v/>
      </c>
      <c r="AJ84" s="3" t="n">
        <f aca="false">MAX(V84:AI84)</f>
        <v>0.00820752843600303</v>
      </c>
    </row>
    <row r="85" customFormat="false" ht="15" hidden="false" customHeight="false" outlineLevel="0" collapsed="false">
      <c r="A85" s="2" t="s">
        <v>43</v>
      </c>
      <c r="B85" s="2" t="s">
        <v>37</v>
      </c>
      <c r="C85" s="2" t="n">
        <v>15</v>
      </c>
      <c r="D85" s="3" t="n">
        <v>-1779.97693311471</v>
      </c>
      <c r="E85" s="3" t="n">
        <v>-2.16003535998554</v>
      </c>
      <c r="F85" s="3" t="n">
        <v>-345.857815573923</v>
      </c>
      <c r="G85" s="3" t="n">
        <v>-41.8232348803438</v>
      </c>
      <c r="H85" s="3" t="n">
        <v>-36.8503780969936</v>
      </c>
      <c r="I85" s="3" t="n">
        <v>-4.79369964369338</v>
      </c>
      <c r="J85" s="3" t="n">
        <v>-3.21417388988965</v>
      </c>
      <c r="K85" s="3" t="n">
        <v>-0.564679796721834</v>
      </c>
      <c r="L85" s="3" t="n">
        <v>-0.370717782387673</v>
      </c>
      <c r="M85" s="3"/>
      <c r="N85" s="3"/>
      <c r="O85" s="3"/>
      <c r="P85" s="3"/>
      <c r="Q85" s="3"/>
      <c r="R85" s="3"/>
      <c r="S85" s="3"/>
      <c r="T85" s="3" t="n">
        <f aca="false">ABS(D85-SUMIFS($D$2:$D$205,$A$2:$A$205,$A85,$B$2:$B$205,$B85,$C$2:$C$205,100))</f>
        <v>8.76466749559768E-005</v>
      </c>
      <c r="U85" s="3" t="n">
        <f aca="false">ABS(E85-SUMIFS($E$2:$E$205,$A$2:$A$205,$A85,$B$2:$B$205,$B85,$C$2:$C$205,100))</f>
        <v>0.0011101621805123</v>
      </c>
      <c r="V85" s="3" t="n">
        <f aca="false">IF(ISBLANK(F85),"",ABS(F85-SUMIFS($F$2:$F$205,$A$2:$A$205,$A85,$B$2:$B$205,$B85,$C$2:$C$205,100)))</f>
        <v>0.02011198325647</v>
      </c>
      <c r="W85" s="3" t="n">
        <f aca="false">IF(ISBLANK(G85),"",ABS(G85-SUMIFS($G$2:$G$205,$A$2:$A$205,$A85,$B$2:$B$205,$B85,$C$2:$C$205,100)))</f>
        <v>0.0201387004573377</v>
      </c>
      <c r="X85" s="3" t="n">
        <f aca="false">IF(ISBLANK(H85),"",ABS(H85-SUMIFS($H$2:$H$205,$A$2:$A$205,$A85,$B$2:$B$205,$B85,$C$2:$C$205,100)))</f>
        <v>0.0197592337367638</v>
      </c>
      <c r="Y85" s="3" t="n">
        <f aca="false">IF(ISBLANK(I85),"",ABS(I85-SUMIFS($I$2:$I$205,$A$2:$A$205,$A85,$B$2:$B$205,$B85,$C$2:$C$205,100)))</f>
        <v>0.0188130913290667</v>
      </c>
      <c r="Z85" s="3" t="n">
        <f aca="false">IF(ISBLANK(J85),"",ABS(J85-SUMIFS($J$2:$J$205,$A$2:$A$205,$A85,$B$2:$B$205,$B85,$C$2:$C$205,100)))</f>
        <v>0.018759597556155</v>
      </c>
      <c r="AA85" s="3" t="n">
        <f aca="false">IF(ISBLANK(K85),"",ABS(K85-SUMIFS($K$2:$K$205,$A$2:$A$205,$A85,$B$2:$B$205,$B85,$C$2:$C$205,100)))</f>
        <v>0.0190056877624132</v>
      </c>
      <c r="AB85" s="3" t="n">
        <f aca="false">IF(ISBLANK(L85),"",ABS(L85-SUMIFS($L$2:$L$205,$A$2:$A$205,$A85,$B$2:$B$205,$B85,$C$2:$C$205,100)))</f>
        <v>0.0187650659091253</v>
      </c>
      <c r="AC85" s="3" t="str">
        <f aca="false">IF(ISBLANK(M85),"",ABS(M85-SUMIFS($M$2:$M$205,$A$2:$A$205,$A85,$B$2:$B$205,$B85,$C$2:$C$205,100)))</f>
        <v/>
      </c>
      <c r="AD85" s="3" t="str">
        <f aca="false">IF(ISBLANK(N85),"",ABS(N85-SUMIFS($N$2:$N$205,$A$2:$A$205,$A85,$B$2:$B$205,$B85,$C$2:$C$205,100)))</f>
        <v/>
      </c>
      <c r="AE85" s="3" t="str">
        <f aca="false">IF(ISBLANK(O85),"",ABS(O85-SUMIFS($O$2:$O$205,$A$2:$A$205,$A85,$B$2:$B$205,$B85,$C$2:$C$205,100)))</f>
        <v/>
      </c>
      <c r="AF85" s="3" t="str">
        <f aca="false">IF(ISBLANK(P85),"",ABS(P85-SUMIFS($P$2:$P$205,$A$2:$A$205,$A85,$B$2:$B$205,$B85,$C$2:$C$205,100)))</f>
        <v/>
      </c>
      <c r="AG85" s="3" t="str">
        <f aca="false">IF(ISBLANK(Q85),"",ABS(Q85-SUMIFS($Q$2:$Q$205,$A$2:$A$205,$A85,$B$2:$B$205,$B85,$C$2:$C$205,100)))</f>
        <v/>
      </c>
      <c r="AH85" s="3" t="str">
        <f aca="false">IF(ISBLANK(R85),"",ABS(R85-SUMIFS($R$2:$R$205,$A$2:$A$205,$A85,$B$2:$B$205,$B85,$C$2:$C$205,100)))</f>
        <v/>
      </c>
      <c r="AI85" s="3" t="str">
        <f aca="false">IF(ISBLANK(S85),"",ABS(S85-SUMIFS($S$2:$S$205,$A$2:$A$205,$A85,$B$2:$B$205,$B85,$C$2:$C$205,100)))</f>
        <v/>
      </c>
      <c r="AJ85" s="3" t="n">
        <f aca="false">MAX(V85:AI85)</f>
        <v>0.0201387004573377</v>
      </c>
    </row>
    <row r="86" customFormat="false" ht="15" hidden="false" customHeight="false" outlineLevel="0" collapsed="false">
      <c r="A86" s="2" t="s">
        <v>43</v>
      </c>
      <c r="B86" s="2" t="s">
        <v>37</v>
      </c>
      <c r="C86" s="2" t="n">
        <v>20</v>
      </c>
      <c r="D86" s="3" t="n">
        <v>-1779.97689365715</v>
      </c>
      <c r="E86" s="3" t="n">
        <v>-2.15902065977086</v>
      </c>
      <c r="F86" s="3" t="n">
        <v>-345.850173828498</v>
      </c>
      <c r="G86" s="3" t="n">
        <v>-41.8155288439533</v>
      </c>
      <c r="H86" s="3" t="n">
        <v>-36.8429911454267</v>
      </c>
      <c r="I86" s="3" t="n">
        <v>-4.78728046862122</v>
      </c>
      <c r="J86" s="3" t="n">
        <v>-3.20780031852678</v>
      </c>
      <c r="K86" s="3" t="n">
        <v>-0.558093489107029</v>
      </c>
      <c r="L86" s="3" t="n">
        <v>-0.364308774783726</v>
      </c>
      <c r="M86" s="3"/>
      <c r="N86" s="3"/>
      <c r="O86" s="3"/>
      <c r="P86" s="3"/>
      <c r="Q86" s="3"/>
      <c r="R86" s="3"/>
      <c r="S86" s="3"/>
      <c r="T86" s="3" t="n">
        <f aca="false">ABS(D86-SUMIFS($D$2:$D$205,$A$2:$A$205,$A86,$B$2:$B$205,$B86,$C$2:$C$205,100))</f>
        <v>0.00012710423493445</v>
      </c>
      <c r="U86" s="3" t="n">
        <f aca="false">ABS(E86-SUMIFS($E$2:$E$205,$A$2:$A$205,$A86,$B$2:$B$205,$B86,$C$2:$C$205,100))</f>
        <v>9.54619658313227E-005</v>
      </c>
      <c r="V86" s="3" t="n">
        <f aca="false">IF(ISBLANK(F86),"",ABS(F86-SUMIFS($F$2:$F$205,$A$2:$A$205,$A86,$B$2:$B$205,$B86,$C$2:$C$205,100)))</f>
        <v>0.0124702378318489</v>
      </c>
      <c r="W86" s="3" t="n">
        <f aca="false">IF(ISBLANK(G86),"",ABS(G86-SUMIFS($G$2:$G$205,$A$2:$A$205,$A86,$B$2:$B$205,$B86,$C$2:$C$205,100)))</f>
        <v>0.012432664066786</v>
      </c>
      <c r="X86" s="3" t="n">
        <f aca="false">IF(ISBLANK(H86),"",ABS(H86-SUMIFS($H$2:$H$205,$A$2:$A$205,$A86,$B$2:$B$205,$B86,$C$2:$C$205,100)))</f>
        <v>0.0123722821698635</v>
      </c>
      <c r="Y86" s="3" t="n">
        <f aca="false">IF(ISBLANK(I86),"",ABS(I86-SUMIFS($I$2:$I$205,$A$2:$A$205,$A86,$B$2:$B$205,$B86,$C$2:$C$205,100)))</f>
        <v>0.0123939162569044</v>
      </c>
      <c r="Z86" s="3" t="n">
        <f aca="false">IF(ISBLANK(J86),"",ABS(J86-SUMIFS($J$2:$J$205,$A$2:$A$205,$A86,$B$2:$B$205,$B86,$C$2:$C$205,100)))</f>
        <v>0.0123860261932851</v>
      </c>
      <c r="AA86" s="3" t="n">
        <f aca="false">IF(ISBLANK(K86),"",ABS(K86-SUMIFS($K$2:$K$205,$A$2:$A$205,$A86,$B$2:$B$205,$B86,$C$2:$C$205,100)))</f>
        <v>0.0124193801476085</v>
      </c>
      <c r="AB86" s="3" t="n">
        <f aca="false">IF(ISBLANK(L86),"",ABS(L86-SUMIFS($L$2:$L$205,$A$2:$A$205,$A86,$B$2:$B$205,$B86,$C$2:$C$205,100)))</f>
        <v>0.0123560583051785</v>
      </c>
      <c r="AC86" s="3" t="str">
        <f aca="false">IF(ISBLANK(M86),"",ABS(M86-SUMIFS($M$2:$M$205,$A$2:$A$205,$A86,$B$2:$B$205,$B86,$C$2:$C$205,100)))</f>
        <v/>
      </c>
      <c r="AD86" s="3" t="str">
        <f aca="false">IF(ISBLANK(N86),"",ABS(N86-SUMIFS($N$2:$N$205,$A$2:$A$205,$A86,$B$2:$B$205,$B86,$C$2:$C$205,100)))</f>
        <v/>
      </c>
      <c r="AE86" s="3" t="str">
        <f aca="false">IF(ISBLANK(O86),"",ABS(O86-SUMIFS($O$2:$O$205,$A$2:$A$205,$A86,$B$2:$B$205,$B86,$C$2:$C$205,100)))</f>
        <v/>
      </c>
      <c r="AF86" s="3" t="str">
        <f aca="false">IF(ISBLANK(P86),"",ABS(P86-SUMIFS($P$2:$P$205,$A$2:$A$205,$A86,$B$2:$B$205,$B86,$C$2:$C$205,100)))</f>
        <v/>
      </c>
      <c r="AG86" s="3" t="str">
        <f aca="false">IF(ISBLANK(Q86),"",ABS(Q86-SUMIFS($Q$2:$Q$205,$A$2:$A$205,$A86,$B$2:$B$205,$B86,$C$2:$C$205,100)))</f>
        <v/>
      </c>
      <c r="AH86" s="3" t="str">
        <f aca="false">IF(ISBLANK(R86),"",ABS(R86-SUMIFS($R$2:$R$205,$A$2:$A$205,$A86,$B$2:$B$205,$B86,$C$2:$C$205,100)))</f>
        <v/>
      </c>
      <c r="AI86" s="3" t="str">
        <f aca="false">IF(ISBLANK(S86),"",ABS(S86-SUMIFS($S$2:$S$205,$A$2:$A$205,$A86,$B$2:$B$205,$B86,$C$2:$C$205,100)))</f>
        <v/>
      </c>
      <c r="AJ86" s="3" t="n">
        <f aca="false">MAX(V86:AI86)</f>
        <v>0.0124702378318489</v>
      </c>
    </row>
    <row r="87" customFormat="false" ht="15" hidden="false" customHeight="false" outlineLevel="0" collapsed="false">
      <c r="A87" s="2" t="s">
        <v>43</v>
      </c>
      <c r="B87" s="2" t="s">
        <v>37</v>
      </c>
      <c r="C87" s="2" t="n">
        <v>30</v>
      </c>
      <c r="D87" s="3" t="n">
        <v>-1779.97702005278</v>
      </c>
      <c r="E87" s="3" t="n">
        <v>-2.15892890172361</v>
      </c>
      <c r="F87" s="3" t="n">
        <v>-345.837970255366</v>
      </c>
      <c r="G87" s="3" t="n">
        <v>-41.8033618455019</v>
      </c>
      <c r="H87" s="3" t="n">
        <v>-36.8308834516562</v>
      </c>
      <c r="I87" s="3" t="n">
        <v>-4.77515111110125</v>
      </c>
      <c r="J87" s="3" t="n">
        <v>-3.1956786664796</v>
      </c>
      <c r="K87" s="3" t="n">
        <v>-0.545939068328464</v>
      </c>
      <c r="L87" s="3" t="n">
        <v>-0.352216974920336</v>
      </c>
      <c r="M87" s="3"/>
      <c r="N87" s="3"/>
      <c r="O87" s="3"/>
      <c r="P87" s="3"/>
      <c r="Q87" s="3"/>
      <c r="R87" s="3"/>
      <c r="S87" s="3"/>
      <c r="T87" s="3" t="n">
        <f aca="false">ABS(D87-SUMIFS($D$2:$D$205,$A$2:$A$205,$A87,$B$2:$B$205,$B87,$C$2:$C$205,100))</f>
        <v>7.08600964571815E-007</v>
      </c>
      <c r="U87" s="3" t="n">
        <f aca="false">ABS(E87-SUMIFS($E$2:$E$205,$A$2:$A$205,$A87,$B$2:$B$205,$B87,$C$2:$C$205,100))</f>
        <v>3.70391857629215E-006</v>
      </c>
      <c r="V87" s="3" t="n">
        <f aca="false">IF(ISBLANK(F87),"",ABS(F87-SUMIFS($F$2:$F$205,$A$2:$A$205,$A87,$B$2:$B$205,$B87,$C$2:$C$205,100)))</f>
        <v>0.000266664699665853</v>
      </c>
      <c r="W87" s="3" t="n">
        <f aca="false">IF(ISBLANK(G87),"",ABS(G87-SUMIFS($G$2:$G$205,$A$2:$A$205,$A87,$B$2:$B$205,$B87,$C$2:$C$205,100)))</f>
        <v>0.000265665615430066</v>
      </c>
      <c r="X87" s="3" t="n">
        <f aca="false">IF(ISBLANK(H87),"",ABS(H87-SUMIFS($H$2:$H$205,$A$2:$A$205,$A87,$B$2:$B$205,$B87,$C$2:$C$205,100)))</f>
        <v>0.000264588399346621</v>
      </c>
      <c r="Y87" s="3" t="n">
        <f aca="false">IF(ISBLANK(I87),"",ABS(I87-SUMIFS($I$2:$I$205,$A$2:$A$205,$A87,$B$2:$B$205,$B87,$C$2:$C$205,100)))</f>
        <v>0.000264558736933651</v>
      </c>
      <c r="Z87" s="3" t="n">
        <f aca="false">IF(ISBLANK(J87),"",ABS(J87-SUMIFS($J$2:$J$205,$A$2:$A$205,$A87,$B$2:$B$205,$B87,$C$2:$C$205,100)))</f>
        <v>0.000264374146104807</v>
      </c>
      <c r="AA87" s="3" t="n">
        <f aca="false">IF(ISBLANK(K87),"",ABS(K87-SUMIFS($K$2:$K$205,$A$2:$A$205,$A87,$B$2:$B$205,$B87,$C$2:$C$205,100)))</f>
        <v>0.000264959369043361</v>
      </c>
      <c r="AB87" s="3" t="n">
        <f aca="false">IF(ISBLANK(L87),"",ABS(L87-SUMIFS($L$2:$L$205,$A$2:$A$205,$A87,$B$2:$B$205,$B87,$C$2:$C$205,100)))</f>
        <v>0.000264258441789178</v>
      </c>
      <c r="AC87" s="3" t="str">
        <f aca="false">IF(ISBLANK(M87),"",ABS(M87-SUMIFS($M$2:$M$205,$A$2:$A$205,$A87,$B$2:$B$205,$B87,$C$2:$C$205,100)))</f>
        <v/>
      </c>
      <c r="AD87" s="3" t="str">
        <f aca="false">IF(ISBLANK(N87),"",ABS(N87-SUMIFS($N$2:$N$205,$A$2:$A$205,$A87,$B$2:$B$205,$B87,$C$2:$C$205,100)))</f>
        <v/>
      </c>
      <c r="AE87" s="3" t="str">
        <f aca="false">IF(ISBLANK(O87),"",ABS(O87-SUMIFS($O$2:$O$205,$A$2:$A$205,$A87,$B$2:$B$205,$B87,$C$2:$C$205,100)))</f>
        <v/>
      </c>
      <c r="AF87" s="3" t="str">
        <f aca="false">IF(ISBLANK(P87),"",ABS(P87-SUMIFS($P$2:$P$205,$A$2:$A$205,$A87,$B$2:$B$205,$B87,$C$2:$C$205,100)))</f>
        <v/>
      </c>
      <c r="AG87" s="3" t="str">
        <f aca="false">IF(ISBLANK(Q87),"",ABS(Q87-SUMIFS($Q$2:$Q$205,$A$2:$A$205,$A87,$B$2:$B$205,$B87,$C$2:$C$205,100)))</f>
        <v/>
      </c>
      <c r="AH87" s="3" t="str">
        <f aca="false">IF(ISBLANK(R87),"",ABS(R87-SUMIFS($R$2:$R$205,$A$2:$A$205,$A87,$B$2:$B$205,$B87,$C$2:$C$205,100)))</f>
        <v/>
      </c>
      <c r="AI87" s="3" t="str">
        <f aca="false">IF(ISBLANK(S87),"",ABS(S87-SUMIFS($S$2:$S$205,$A$2:$A$205,$A87,$B$2:$B$205,$B87,$C$2:$C$205,100)))</f>
        <v/>
      </c>
      <c r="AJ87" s="3" t="n">
        <f aca="false">MAX(V87:AI87)</f>
        <v>0.000266664699665853</v>
      </c>
    </row>
    <row r="88" customFormat="false" ht="15" hidden="false" customHeight="false" outlineLevel="0" collapsed="false">
      <c r="A88" s="2" t="s">
        <v>43</v>
      </c>
      <c r="B88" s="2" t="s">
        <v>37</v>
      </c>
      <c r="C88" s="2" t="n">
        <v>50</v>
      </c>
      <c r="D88" s="3" t="n">
        <v>-1779.97702076135</v>
      </c>
      <c r="E88" s="3" t="n">
        <v>-2.15892519874603</v>
      </c>
      <c r="F88" s="3" t="n">
        <v>-345.837703603231</v>
      </c>
      <c r="G88" s="3" t="n">
        <v>-41.8030961921588</v>
      </c>
      <c r="H88" s="3" t="n">
        <v>-36.8306188748463</v>
      </c>
      <c r="I88" s="3" t="n">
        <v>-4.77488656434423</v>
      </c>
      <c r="J88" s="3" t="n">
        <v>-3.19541430450994</v>
      </c>
      <c r="K88" s="3" t="n">
        <v>-0.545674121093552</v>
      </c>
      <c r="L88" s="3" t="n">
        <v>-0.351952728166088</v>
      </c>
      <c r="M88" s="3"/>
      <c r="N88" s="3"/>
      <c r="O88" s="3"/>
      <c r="P88" s="3"/>
      <c r="Q88" s="3"/>
      <c r="R88" s="3"/>
      <c r="S88" s="3"/>
      <c r="T88" s="3" t="n">
        <f aca="false">ABS(D88-SUMIFS($D$2:$D$205,$A$2:$A$205,$A88,$B$2:$B$205,$B88,$C$2:$C$205,100))</f>
        <v>3.38786776410416E-011</v>
      </c>
      <c r="U88" s="3" t="n">
        <f aca="false">ABS(E88-SUMIFS($E$2:$E$205,$A$2:$A$205,$A88,$B$2:$B$205,$B88,$C$2:$C$205,100))</f>
        <v>9.41000166676531E-010</v>
      </c>
      <c r="V88" s="3" t="n">
        <f aca="false">IF(ISBLANK(F88),"",ABS(F88-SUMIFS($F$2:$F$205,$A$2:$A$205,$A88,$B$2:$B$205,$B88,$C$2:$C$205,100)))</f>
        <v>1.25652945826005E-008</v>
      </c>
      <c r="W88" s="3" t="n">
        <f aca="false">IF(ISBLANK(G88),"",ABS(G88-SUMIFS($G$2:$G$205,$A$2:$A$205,$A88,$B$2:$B$205,$B88,$C$2:$C$205,100)))</f>
        <v>1.22723520235013E-008</v>
      </c>
      <c r="X88" s="3" t="n">
        <f aca="false">IF(ISBLANK(H88),"",ABS(H88-SUMIFS($H$2:$H$205,$A$2:$A$205,$A88,$B$2:$B$205,$B88,$C$2:$C$205,100)))</f>
        <v>1.1589463611017E-008</v>
      </c>
      <c r="Y88" s="3" t="n">
        <f aca="false">IF(ISBLANK(I88),"",ABS(I88-SUMIFS($I$2:$I$205,$A$2:$A$205,$A88,$B$2:$B$205,$B88,$C$2:$C$205,100)))</f>
        <v>1.1979919278815E-008</v>
      </c>
      <c r="Z88" s="3" t="n">
        <f aca="false">IF(ISBLANK(J88),"",ABS(J88-SUMIFS($J$2:$J$205,$A$2:$A$205,$A88,$B$2:$B$205,$B88,$C$2:$C$205,100)))</f>
        <v>1.21764509586342E-008</v>
      </c>
      <c r="AA88" s="3" t="n">
        <f aca="false">IF(ISBLANK(K88),"",ABS(K88-SUMIFS($K$2:$K$205,$A$2:$A$205,$A88,$B$2:$B$205,$B88,$C$2:$C$205,100)))</f>
        <v>1.21341319214707E-008</v>
      </c>
      <c r="AB88" s="3" t="n">
        <f aca="false">IF(ISBLANK(L88),"",ABS(L88-SUMIFS($L$2:$L$205,$A$2:$A$205,$A88,$B$2:$B$205,$B88,$C$2:$C$205,100)))</f>
        <v>1.16875412126127E-008</v>
      </c>
      <c r="AC88" s="3" t="str">
        <f aca="false">IF(ISBLANK(M88),"",ABS(M88-SUMIFS($M$2:$M$205,$A$2:$A$205,$A88,$B$2:$B$205,$B88,$C$2:$C$205,100)))</f>
        <v/>
      </c>
      <c r="AD88" s="3" t="str">
        <f aca="false">IF(ISBLANK(N88),"",ABS(N88-SUMIFS($N$2:$N$205,$A$2:$A$205,$A88,$B$2:$B$205,$B88,$C$2:$C$205,100)))</f>
        <v/>
      </c>
      <c r="AE88" s="3" t="str">
        <f aca="false">IF(ISBLANK(O88),"",ABS(O88-SUMIFS($O$2:$O$205,$A$2:$A$205,$A88,$B$2:$B$205,$B88,$C$2:$C$205,100)))</f>
        <v/>
      </c>
      <c r="AF88" s="3" t="str">
        <f aca="false">IF(ISBLANK(P88),"",ABS(P88-SUMIFS($P$2:$P$205,$A$2:$A$205,$A88,$B$2:$B$205,$B88,$C$2:$C$205,100)))</f>
        <v/>
      </c>
      <c r="AG88" s="3" t="str">
        <f aca="false">IF(ISBLANK(Q88),"",ABS(Q88-SUMIFS($Q$2:$Q$205,$A$2:$A$205,$A88,$B$2:$B$205,$B88,$C$2:$C$205,100)))</f>
        <v/>
      </c>
      <c r="AH88" s="3" t="str">
        <f aca="false">IF(ISBLANK(R88),"",ABS(R88-SUMIFS($R$2:$R$205,$A$2:$A$205,$A88,$B$2:$B$205,$B88,$C$2:$C$205,100)))</f>
        <v/>
      </c>
      <c r="AI88" s="3" t="str">
        <f aca="false">IF(ISBLANK(S88),"",ABS(S88-SUMIFS($S$2:$S$205,$A$2:$A$205,$A88,$B$2:$B$205,$B88,$C$2:$C$205,100)))</f>
        <v/>
      </c>
      <c r="AJ88" s="3" t="n">
        <f aca="false">MAX(V88:AI88)</f>
        <v>1.25652945826005E-008</v>
      </c>
    </row>
    <row r="89" customFormat="false" ht="15" hidden="false" customHeight="false" outlineLevel="0" collapsed="false">
      <c r="A89" s="2" t="s">
        <v>43</v>
      </c>
      <c r="B89" s="2" t="s">
        <v>37</v>
      </c>
      <c r="C89" s="2" t="n">
        <v>80</v>
      </c>
      <c r="D89" s="3" t="n">
        <v>-1779.97702076138</v>
      </c>
      <c r="E89" s="3" t="n">
        <v>-2.15892519780404</v>
      </c>
      <c r="F89" s="3" t="n">
        <v>-345.837703590759</v>
      </c>
      <c r="G89" s="3" t="n">
        <v>-41.8030961799797</v>
      </c>
      <c r="H89" s="3" t="n">
        <v>-36.8306188633733</v>
      </c>
      <c r="I89" s="3" t="n">
        <v>-4.77488655245749</v>
      </c>
      <c r="J89" s="3" t="n">
        <v>-3.19541429244991</v>
      </c>
      <c r="K89" s="3" t="n">
        <v>-0.54567410895942</v>
      </c>
      <c r="L89" s="3" t="n">
        <v>-0.351952716571721</v>
      </c>
      <c r="M89" s="3"/>
      <c r="N89" s="3"/>
      <c r="O89" s="3"/>
      <c r="P89" s="3"/>
      <c r="Q89" s="3"/>
      <c r="R89" s="3"/>
      <c r="S89" s="3"/>
      <c r="T89" s="3" t="n">
        <f aca="false">ABS(D89-SUMIFS($D$2:$D$205,$A$2:$A$205,$A89,$B$2:$B$205,$B89,$C$2:$C$205,100))</f>
        <v>0</v>
      </c>
      <c r="U89" s="3" t="n">
        <f aca="false">ABS(E89-SUMIFS($E$2:$E$205,$A$2:$A$205,$A89,$B$2:$B$205,$B89,$C$2:$C$205,100))</f>
        <v>9.86766224286839E-013</v>
      </c>
      <c r="V89" s="3" t="n">
        <f aca="false">IF(ISBLANK(F89),"",ABS(F89-SUMIFS($F$2:$F$205,$A$2:$A$205,$A89,$B$2:$B$205,$B89,$C$2:$C$205,100)))</f>
        <v>9.30526766751427E-011</v>
      </c>
      <c r="W89" s="3" t="n">
        <f aca="false">IF(ISBLANK(G89),"",ABS(G89-SUMIFS($G$2:$G$205,$A$2:$A$205,$A89,$B$2:$B$205,$B89,$C$2:$C$205,100)))</f>
        <v>9.31663635128643E-011</v>
      </c>
      <c r="X89" s="3" t="n">
        <f aca="false">IF(ISBLANK(H89),"",ABS(H89-SUMIFS($H$2:$H$205,$A$2:$A$205,$A89,$B$2:$B$205,$B89,$C$2:$C$205,100)))</f>
        <v>1.16415321826935E-010</v>
      </c>
      <c r="Y89" s="3" t="n">
        <f aca="false">IF(ISBLANK(I89),"",ABS(I89-SUMIFS($I$2:$I$205,$A$2:$A$205,$A89,$B$2:$B$205,$B89,$C$2:$C$205,100)))</f>
        <v>9.31716925833825E-011</v>
      </c>
      <c r="Z89" s="3" t="n">
        <f aca="false">IF(ISBLANK(J89),"",ABS(J89-SUMIFS($J$2:$J$205,$A$2:$A$205,$A89,$B$2:$B$205,$B89,$C$2:$C$205,100)))</f>
        <v>1.16414877737725E-010</v>
      </c>
      <c r="AA89" s="3" t="n">
        <f aca="false">IF(ISBLANK(K89),"",ABS(K89-SUMIFS($K$2:$K$205,$A$2:$A$205,$A89,$B$2:$B$205,$B89,$C$2:$C$205,100)))</f>
        <v>0</v>
      </c>
      <c r="AB89" s="3" t="n">
        <f aca="false">IF(ISBLANK(L89),"",ABS(L89-SUMIFS($L$2:$L$205,$A$2:$A$205,$A89,$B$2:$B$205,$B89,$C$2:$C$205,100)))</f>
        <v>9.31739130294318E-011</v>
      </c>
      <c r="AC89" s="3" t="str">
        <f aca="false">IF(ISBLANK(M89),"",ABS(M89-SUMIFS($M$2:$M$205,$A$2:$A$205,$A89,$B$2:$B$205,$B89,$C$2:$C$205,100)))</f>
        <v/>
      </c>
      <c r="AD89" s="3" t="str">
        <f aca="false">IF(ISBLANK(N89),"",ABS(N89-SUMIFS($N$2:$N$205,$A$2:$A$205,$A89,$B$2:$B$205,$B89,$C$2:$C$205,100)))</f>
        <v/>
      </c>
      <c r="AE89" s="3" t="str">
        <f aca="false">IF(ISBLANK(O89),"",ABS(O89-SUMIFS($O$2:$O$205,$A$2:$A$205,$A89,$B$2:$B$205,$B89,$C$2:$C$205,100)))</f>
        <v/>
      </c>
      <c r="AF89" s="3" t="str">
        <f aca="false">IF(ISBLANK(P89),"",ABS(P89-SUMIFS($P$2:$P$205,$A$2:$A$205,$A89,$B$2:$B$205,$B89,$C$2:$C$205,100)))</f>
        <v/>
      </c>
      <c r="AG89" s="3" t="str">
        <f aca="false">IF(ISBLANK(Q89),"",ABS(Q89-SUMIFS($Q$2:$Q$205,$A$2:$A$205,$A89,$B$2:$B$205,$B89,$C$2:$C$205,100)))</f>
        <v/>
      </c>
      <c r="AH89" s="3" t="str">
        <f aca="false">IF(ISBLANK(R89),"",ABS(R89-SUMIFS($R$2:$R$205,$A$2:$A$205,$A89,$B$2:$B$205,$B89,$C$2:$C$205,100)))</f>
        <v/>
      </c>
      <c r="AI89" s="3" t="str">
        <f aca="false">IF(ISBLANK(S89),"",ABS(S89-SUMIFS($S$2:$S$205,$A$2:$A$205,$A89,$B$2:$B$205,$B89,$C$2:$C$205,100)))</f>
        <v/>
      </c>
      <c r="AJ89" s="3" t="n">
        <f aca="false">MAX(V89:AI89)</f>
        <v>1.16415321826935E-010</v>
      </c>
    </row>
    <row r="90" customFormat="false" ht="15" hidden="false" customHeight="false" outlineLevel="0" collapsed="false">
      <c r="A90" s="4" t="s">
        <v>43</v>
      </c>
      <c r="B90" s="4" t="s">
        <v>37</v>
      </c>
      <c r="C90" s="4" t="n">
        <v>100</v>
      </c>
      <c r="D90" s="5" t="n">
        <v>-1779.97702076138</v>
      </c>
      <c r="E90" s="5" t="n">
        <v>-2.15892519780503</v>
      </c>
      <c r="F90" s="3" t="n">
        <v>-345.837703590666</v>
      </c>
      <c r="G90" s="3" t="n">
        <v>-41.8030961798865</v>
      </c>
      <c r="H90" s="3" t="n">
        <v>-36.8306188632569</v>
      </c>
      <c r="I90" s="3" t="n">
        <v>-4.77488655236431</v>
      </c>
      <c r="J90" s="3" t="n">
        <v>-3.19541429233349</v>
      </c>
      <c r="K90" s="3" t="n">
        <v>-0.54567410895942</v>
      </c>
      <c r="L90" s="3" t="n">
        <v>-0.351952716478547</v>
      </c>
      <c r="M90" s="3"/>
      <c r="N90" s="3"/>
      <c r="O90" s="3"/>
      <c r="P90" s="3"/>
      <c r="Q90" s="3"/>
      <c r="R90" s="3"/>
      <c r="S90" s="3"/>
      <c r="T90" s="3" t="n">
        <f aca="false">ABS(D90-SUMIFS($D$2:$D$205,$A$2:$A$205,$A90,$B$2:$B$205,$B90,$C$2:$C$205,100))</f>
        <v>0</v>
      </c>
      <c r="U90" s="3" t="n">
        <f aca="false">ABS(E90-SUMIFS($E$2:$E$205,$A$2:$A$205,$A90,$B$2:$B$205,$B90,$C$2:$C$205,100))</f>
        <v>0</v>
      </c>
      <c r="V90" s="3" t="n">
        <f aca="false">IF(ISBLANK(F90),"",ABS(F90-SUMIFS($F$2:$F$205,$A$2:$A$205,$A90,$B$2:$B$205,$B90,$C$2:$C$205,100)))</f>
        <v>0</v>
      </c>
      <c r="W90" s="3" t="n">
        <f aca="false">IF(ISBLANK(G90),"",ABS(G90-SUMIFS($G$2:$G$205,$A$2:$A$205,$A90,$B$2:$B$205,$B90,$C$2:$C$205,100)))</f>
        <v>0</v>
      </c>
      <c r="X90" s="3" t="n">
        <f aca="false">IF(ISBLANK(H90),"",ABS(H90-SUMIFS($H$2:$H$205,$A$2:$A$205,$A90,$B$2:$B$205,$B90,$C$2:$C$205,100)))</f>
        <v>0</v>
      </c>
      <c r="Y90" s="3" t="n">
        <f aca="false">IF(ISBLANK(I90),"",ABS(I90-SUMIFS($I$2:$I$205,$A$2:$A$205,$A90,$B$2:$B$205,$B90,$C$2:$C$205,100)))</f>
        <v>0</v>
      </c>
      <c r="Z90" s="3" t="n">
        <f aca="false">IF(ISBLANK(J90),"",ABS(J90-SUMIFS($J$2:$J$205,$A$2:$A$205,$A90,$B$2:$B$205,$B90,$C$2:$C$205,100)))</f>
        <v>0</v>
      </c>
      <c r="AA90" s="3" t="n">
        <f aca="false">IF(ISBLANK(K90),"",ABS(K90-SUMIFS($K$2:$K$205,$A$2:$A$205,$A90,$B$2:$B$205,$B90,$C$2:$C$205,100)))</f>
        <v>0</v>
      </c>
      <c r="AB90" s="3" t="n">
        <f aca="false">IF(ISBLANK(L90),"",ABS(L90-SUMIFS($L$2:$L$205,$A$2:$A$205,$A90,$B$2:$B$205,$B90,$C$2:$C$205,100)))</f>
        <v>0</v>
      </c>
      <c r="AC90" s="3" t="str">
        <f aca="false">IF(ISBLANK(M90),"",ABS(M90-SUMIFS($M$2:$M$205,$A$2:$A$205,$A90,$B$2:$B$205,$B90,$C$2:$C$205,100)))</f>
        <v/>
      </c>
      <c r="AD90" s="3" t="str">
        <f aca="false">IF(ISBLANK(N90),"",ABS(N90-SUMIFS($N$2:$N$205,$A$2:$A$205,$A90,$B$2:$B$205,$B90,$C$2:$C$205,100)))</f>
        <v/>
      </c>
      <c r="AE90" s="3" t="str">
        <f aca="false">IF(ISBLANK(O90),"",ABS(O90-SUMIFS($O$2:$O$205,$A$2:$A$205,$A90,$B$2:$B$205,$B90,$C$2:$C$205,100)))</f>
        <v/>
      </c>
      <c r="AF90" s="3" t="str">
        <f aca="false">IF(ISBLANK(P90),"",ABS(P90-SUMIFS($P$2:$P$205,$A$2:$A$205,$A90,$B$2:$B$205,$B90,$C$2:$C$205,100)))</f>
        <v/>
      </c>
      <c r="AG90" s="3" t="str">
        <f aca="false">IF(ISBLANK(Q90),"",ABS(Q90-SUMIFS($Q$2:$Q$205,$A$2:$A$205,$A90,$B$2:$B$205,$B90,$C$2:$C$205,100)))</f>
        <v/>
      </c>
      <c r="AH90" s="3" t="str">
        <f aca="false">IF(ISBLANK(R90),"",ABS(R90-SUMIFS($R$2:$R$205,$A$2:$A$205,$A90,$B$2:$B$205,$B90,$C$2:$C$205,100)))</f>
        <v/>
      </c>
      <c r="AI90" s="3" t="str">
        <f aca="false">IF(ISBLANK(S90),"",ABS(S90-SUMIFS($S$2:$S$205,$A$2:$A$205,$A90,$B$2:$B$205,$B90,$C$2:$C$205,100)))</f>
        <v/>
      </c>
      <c r="AJ90" s="3" t="n">
        <f aca="false">MAX(V90:AI90)</f>
        <v>0</v>
      </c>
    </row>
    <row r="91" customFormat="false" ht="15" hidden="false" customHeight="false" outlineLevel="0" collapsed="false">
      <c r="A91" s="2" t="s">
        <v>43</v>
      </c>
      <c r="B91" s="2" t="s">
        <v>37</v>
      </c>
      <c r="C91" s="2" t="n">
        <v>150</v>
      </c>
      <c r="D91" s="3" t="n">
        <v>-1779.97702076138</v>
      </c>
      <c r="E91" s="3" t="n">
        <v>-2.15892519780356</v>
      </c>
      <c r="F91" s="3" t="n">
        <v>-345.837703590759</v>
      </c>
      <c r="G91" s="3" t="n">
        <v>-41.8030961799797</v>
      </c>
      <c r="H91" s="3" t="n">
        <v>-36.8306188633733</v>
      </c>
      <c r="I91" s="3" t="n">
        <v>-4.77488655245749</v>
      </c>
      <c r="J91" s="3" t="n">
        <v>-3.19541429244991</v>
      </c>
      <c r="K91" s="3" t="n">
        <v>-0.54567410895942</v>
      </c>
      <c r="L91" s="3" t="n">
        <v>-0.351952716571721</v>
      </c>
      <c r="M91" s="3"/>
      <c r="N91" s="3"/>
      <c r="O91" s="3"/>
      <c r="P91" s="3"/>
      <c r="Q91" s="3"/>
      <c r="R91" s="3"/>
      <c r="S91" s="3"/>
      <c r="T91" s="3" t="n">
        <f aca="false">ABS(D91-SUMIFS($D$2:$D$205,$A$2:$A$205,$A91,$B$2:$B$205,$B91,$C$2:$C$205,100))</f>
        <v>0</v>
      </c>
      <c r="U91" s="3" t="n">
        <f aca="false">ABS(E91-SUMIFS($E$2:$E$205,$A$2:$A$205,$A91,$B$2:$B$205,$B91,$C$2:$C$205,100))</f>
        <v>1.46771483855446E-012</v>
      </c>
      <c r="V91" s="3" t="n">
        <f aca="false">IF(ISBLANK(F91),"",ABS(F91-SUMIFS($F$2:$F$205,$A$2:$A$205,$A91,$B$2:$B$205,$B91,$C$2:$C$205,100)))</f>
        <v>9.30526766751427E-011</v>
      </c>
      <c r="W91" s="3" t="n">
        <f aca="false">IF(ISBLANK(G91),"",ABS(G91-SUMIFS($G$2:$G$205,$A$2:$A$205,$A91,$B$2:$B$205,$B91,$C$2:$C$205,100)))</f>
        <v>9.31663635128643E-011</v>
      </c>
      <c r="X91" s="3" t="n">
        <f aca="false">IF(ISBLANK(H91),"",ABS(H91-SUMIFS($H$2:$H$205,$A$2:$A$205,$A91,$B$2:$B$205,$B91,$C$2:$C$205,100)))</f>
        <v>1.16415321826935E-010</v>
      </c>
      <c r="Y91" s="3" t="n">
        <f aca="false">IF(ISBLANK(I91),"",ABS(I91-SUMIFS($I$2:$I$205,$A$2:$A$205,$A91,$B$2:$B$205,$B91,$C$2:$C$205,100)))</f>
        <v>9.31716925833825E-011</v>
      </c>
      <c r="Z91" s="3" t="n">
        <f aca="false">IF(ISBLANK(J91),"",ABS(J91-SUMIFS($J$2:$J$205,$A$2:$A$205,$A91,$B$2:$B$205,$B91,$C$2:$C$205,100)))</f>
        <v>1.16414877737725E-010</v>
      </c>
      <c r="AA91" s="3" t="n">
        <f aca="false">IF(ISBLANK(K91),"",ABS(K91-SUMIFS($K$2:$K$205,$A$2:$A$205,$A91,$B$2:$B$205,$B91,$C$2:$C$205,100)))</f>
        <v>0</v>
      </c>
      <c r="AB91" s="3" t="n">
        <f aca="false">IF(ISBLANK(L91),"",ABS(L91-SUMIFS($L$2:$L$205,$A$2:$A$205,$A91,$B$2:$B$205,$B91,$C$2:$C$205,100)))</f>
        <v>9.31739130294318E-011</v>
      </c>
      <c r="AC91" s="3" t="str">
        <f aca="false">IF(ISBLANK(M91),"",ABS(M91-SUMIFS($M$2:$M$205,$A$2:$A$205,$A91,$B$2:$B$205,$B91,$C$2:$C$205,100)))</f>
        <v/>
      </c>
      <c r="AD91" s="3" t="str">
        <f aca="false">IF(ISBLANK(N91),"",ABS(N91-SUMIFS($N$2:$N$205,$A$2:$A$205,$A91,$B$2:$B$205,$B91,$C$2:$C$205,100)))</f>
        <v/>
      </c>
      <c r="AE91" s="3" t="str">
        <f aca="false">IF(ISBLANK(O91),"",ABS(O91-SUMIFS($O$2:$O$205,$A$2:$A$205,$A91,$B$2:$B$205,$B91,$C$2:$C$205,100)))</f>
        <v/>
      </c>
      <c r="AF91" s="3" t="str">
        <f aca="false">IF(ISBLANK(P91),"",ABS(P91-SUMIFS($P$2:$P$205,$A$2:$A$205,$A91,$B$2:$B$205,$B91,$C$2:$C$205,100)))</f>
        <v/>
      </c>
      <c r="AG91" s="3" t="str">
        <f aca="false">IF(ISBLANK(Q91),"",ABS(Q91-SUMIFS($Q$2:$Q$205,$A$2:$A$205,$A91,$B$2:$B$205,$B91,$C$2:$C$205,100)))</f>
        <v/>
      </c>
      <c r="AH91" s="3" t="str">
        <f aca="false">IF(ISBLANK(R91),"",ABS(R91-SUMIFS($R$2:$R$205,$A$2:$A$205,$A91,$B$2:$B$205,$B91,$C$2:$C$205,100)))</f>
        <v/>
      </c>
      <c r="AI91" s="3" t="str">
        <f aca="false">IF(ISBLANK(S91),"",ABS(S91-SUMIFS($S$2:$S$205,$A$2:$A$205,$A91,$B$2:$B$205,$B91,$C$2:$C$205,100)))</f>
        <v/>
      </c>
      <c r="AJ91" s="3" t="n">
        <f aca="false">MAX(V91:AI91)</f>
        <v>1.16415321826935E-010</v>
      </c>
    </row>
    <row r="92" customFormat="false" ht="15" hidden="false" customHeight="false" outlineLevel="0" collapsed="false">
      <c r="A92" s="2" t="s">
        <v>43</v>
      </c>
      <c r="B92" s="2" t="s">
        <v>38</v>
      </c>
      <c r="C92" s="2" t="n">
        <v>5</v>
      </c>
      <c r="D92" s="3" t="n">
        <v>-1779.97481178387</v>
      </c>
      <c r="E92" s="3" t="n">
        <v>-2.15705511701569</v>
      </c>
      <c r="F92" s="3" t="n">
        <v>-345.656749909082</v>
      </c>
      <c r="G92" s="3" t="n">
        <v>-41.6076999008522</v>
      </c>
      <c r="H92" s="3" t="n">
        <v>-36.6207003110561</v>
      </c>
      <c r="I92" s="3" t="n">
        <v>-4.72967836054558</v>
      </c>
      <c r="J92" s="3" t="n">
        <v>-3.14683900864431</v>
      </c>
      <c r="K92" s="3" t="n">
        <v>-0.478973257036015</v>
      </c>
      <c r="L92" s="3" t="n">
        <v>-0.281886702728124</v>
      </c>
      <c r="M92" s="3"/>
      <c r="N92" s="3"/>
      <c r="O92" s="3"/>
      <c r="P92" s="3"/>
      <c r="Q92" s="3"/>
      <c r="R92" s="3"/>
      <c r="S92" s="3"/>
      <c r="T92" s="3" t="n">
        <f aca="false">ABS(D92-SUMIFS($D$2:$D$205,$A$2:$A$205,$A92,$B$2:$B$205,$B92,$C$2:$C$205,100))</f>
        <v>0.00220897750796212</v>
      </c>
      <c r="U92" s="3" t="n">
        <f aca="false">ABS(E92-SUMIFS($E$2:$E$205,$A$2:$A$205,$A92,$B$2:$B$205,$B92,$C$2:$C$205,100))</f>
        <v>0.0018700807897063</v>
      </c>
      <c r="V92" s="3" t="n">
        <f aca="false">IF(ISBLANK(F92),"",ABS(F92-SUMIFS($F$2:$F$205,$A$2:$A$205,$A92,$B$2:$B$205,$B92,$C$2:$C$205,100)))</f>
        <v>0.180953681676897</v>
      </c>
      <c r="W92" s="3" t="n">
        <f aca="false">IF(ISBLANK(G92),"",ABS(G92-SUMIFS($G$2:$G$205,$A$2:$A$205,$A92,$B$2:$B$205,$B92,$C$2:$C$205,100)))</f>
        <v>0.195396279127451</v>
      </c>
      <c r="X92" s="3" t="n">
        <f aca="false">IF(ISBLANK(H92),"",ABS(H92-SUMIFS($H$2:$H$205,$A$2:$A$205,$A92,$B$2:$B$205,$B92,$C$2:$C$205,100)))</f>
        <v>0.209918552317149</v>
      </c>
      <c r="Y92" s="3" t="n">
        <f aca="false">IF(ISBLANK(I92),"",ABS(I92-SUMIFS($I$2:$I$205,$A$2:$A$205,$A92,$B$2:$B$205,$B92,$C$2:$C$205,100)))</f>
        <v>0.0452081919119003</v>
      </c>
      <c r="Z92" s="3" t="n">
        <f aca="false">IF(ISBLANK(J92),"",ABS(J92-SUMIFS($J$2:$J$205,$A$2:$A$205,$A92,$B$2:$B$205,$B92,$C$2:$C$205,100)))</f>
        <v>0.0485752838055928</v>
      </c>
      <c r="AA92" s="3" t="n">
        <f aca="false">IF(ISBLANK(K92),"",ABS(K92-SUMIFS($K$2:$K$205,$A$2:$A$205,$A92,$B$2:$B$205,$B92,$C$2:$C$205,100)))</f>
        <v>0.0667008519234055</v>
      </c>
      <c r="AB92" s="3" t="n">
        <f aca="false">IF(ISBLANK(L92),"",ABS(L92-SUMIFS($L$2:$L$205,$A$2:$A$205,$A92,$B$2:$B$205,$B92,$C$2:$C$205,100)))</f>
        <v>0.0700660138435972</v>
      </c>
      <c r="AC92" s="3" t="str">
        <f aca="false">IF(ISBLANK(M92),"",ABS(M92-SUMIFS($M$2:$M$205,$A$2:$A$205,$A92,$B$2:$B$205,$B92,$C$2:$C$205,100)))</f>
        <v/>
      </c>
      <c r="AD92" s="3" t="str">
        <f aca="false">IF(ISBLANK(N92),"",ABS(N92-SUMIFS($N$2:$N$205,$A$2:$A$205,$A92,$B$2:$B$205,$B92,$C$2:$C$205,100)))</f>
        <v/>
      </c>
      <c r="AE92" s="3" t="str">
        <f aca="false">IF(ISBLANK(O92),"",ABS(O92-SUMIFS($O$2:$O$205,$A$2:$A$205,$A92,$B$2:$B$205,$B92,$C$2:$C$205,100)))</f>
        <v/>
      </c>
      <c r="AF92" s="3" t="str">
        <f aca="false">IF(ISBLANK(P92),"",ABS(P92-SUMIFS($P$2:$P$205,$A$2:$A$205,$A92,$B$2:$B$205,$B92,$C$2:$C$205,100)))</f>
        <v/>
      </c>
      <c r="AG92" s="3" t="str">
        <f aca="false">IF(ISBLANK(Q92),"",ABS(Q92-SUMIFS($Q$2:$Q$205,$A$2:$A$205,$A92,$B$2:$B$205,$B92,$C$2:$C$205,100)))</f>
        <v/>
      </c>
      <c r="AH92" s="3" t="str">
        <f aca="false">IF(ISBLANK(R92),"",ABS(R92-SUMIFS($R$2:$R$205,$A$2:$A$205,$A92,$B$2:$B$205,$B92,$C$2:$C$205,100)))</f>
        <v/>
      </c>
      <c r="AI92" s="3" t="str">
        <f aca="false">IF(ISBLANK(S92),"",ABS(S92-SUMIFS($S$2:$S$205,$A$2:$A$205,$A92,$B$2:$B$205,$B92,$C$2:$C$205,100)))</f>
        <v/>
      </c>
      <c r="AJ92" s="3" t="n">
        <f aca="false">MAX(V92:AI92)</f>
        <v>0.209918552317149</v>
      </c>
    </row>
    <row r="93" customFormat="false" ht="15" hidden="false" customHeight="false" outlineLevel="0" collapsed="false">
      <c r="A93" s="2" t="s">
        <v>43</v>
      </c>
      <c r="B93" s="2" t="s">
        <v>38</v>
      </c>
      <c r="C93" s="2" t="n">
        <v>10</v>
      </c>
      <c r="D93" s="3" t="n">
        <v>-1779.98251322112</v>
      </c>
      <c r="E93" s="3" t="n">
        <v>-2.16212484468558</v>
      </c>
      <c r="F93" s="3" t="n">
        <v>-345.804229139621</v>
      </c>
      <c r="G93" s="3" t="n">
        <v>-41.7659653343684</v>
      </c>
      <c r="H93" s="3" t="n">
        <v>-36.7964751316289</v>
      </c>
      <c r="I93" s="3" t="n">
        <v>-4.73815316767814</v>
      </c>
      <c r="J93" s="3" t="n">
        <v>-3.15802122860239</v>
      </c>
      <c r="K93" s="3" t="n">
        <v>-0.505680027517511</v>
      </c>
      <c r="L93" s="3" t="n">
        <v>-0.316552389046039</v>
      </c>
      <c r="M93" s="3"/>
      <c r="N93" s="3"/>
      <c r="O93" s="3"/>
      <c r="P93" s="3"/>
      <c r="Q93" s="3"/>
      <c r="R93" s="3"/>
      <c r="S93" s="3"/>
      <c r="T93" s="3" t="n">
        <f aca="false">ABS(D93-SUMIFS($D$2:$D$205,$A$2:$A$205,$A93,$B$2:$B$205,$B93,$C$2:$C$205,100))</f>
        <v>0.00549245974207224</v>
      </c>
      <c r="U93" s="3" t="n">
        <f aca="false">ABS(E93-SUMIFS($E$2:$E$205,$A$2:$A$205,$A93,$B$2:$B$205,$B93,$C$2:$C$205,100))</f>
        <v>0.00319964688018404</v>
      </c>
      <c r="V93" s="3" t="n">
        <f aca="false">IF(ISBLANK(F93),"",ABS(F93-SUMIFS($F$2:$F$205,$A$2:$A$205,$A93,$B$2:$B$205,$B93,$C$2:$C$205,100)))</f>
        <v>0.0334744511383747</v>
      </c>
      <c r="W93" s="3" t="n">
        <f aca="false">IF(ISBLANK(G93),"",ABS(G93-SUMIFS($G$2:$G$205,$A$2:$A$205,$A93,$B$2:$B$205,$B93,$C$2:$C$205,100)))</f>
        <v>0.0371308456112303</v>
      </c>
      <c r="X93" s="3" t="n">
        <f aca="false">IF(ISBLANK(H93),"",ABS(H93-SUMIFS($H$2:$H$205,$A$2:$A$205,$A93,$B$2:$B$205,$B93,$C$2:$C$205,100)))</f>
        <v>0.0341437317444218</v>
      </c>
      <c r="Y93" s="3" t="n">
        <f aca="false">IF(ISBLANK(I93),"",ABS(I93-SUMIFS($I$2:$I$205,$A$2:$A$205,$A93,$B$2:$B$205,$B93,$C$2:$C$205,100)))</f>
        <v>0.0367333847793443</v>
      </c>
      <c r="Z93" s="3" t="n">
        <f aca="false">IF(ISBLANK(J93),"",ABS(J93-SUMIFS($J$2:$J$205,$A$2:$A$205,$A93,$B$2:$B$205,$B93,$C$2:$C$205,100)))</f>
        <v>0.037393063847516</v>
      </c>
      <c r="AA93" s="3" t="n">
        <f aca="false">IF(ISBLANK(K93),"",ABS(K93-SUMIFS($K$2:$K$205,$A$2:$A$205,$A93,$B$2:$B$205,$B93,$C$2:$C$205,100)))</f>
        <v>0.0399940814419095</v>
      </c>
      <c r="AB93" s="3" t="n">
        <f aca="false">IF(ISBLANK(L93),"",ABS(L93-SUMIFS($L$2:$L$205,$A$2:$A$205,$A93,$B$2:$B$205,$B93,$C$2:$C$205,100)))</f>
        <v>0.0354003275256819</v>
      </c>
      <c r="AC93" s="3" t="str">
        <f aca="false">IF(ISBLANK(M93),"",ABS(M93-SUMIFS($M$2:$M$205,$A$2:$A$205,$A93,$B$2:$B$205,$B93,$C$2:$C$205,100)))</f>
        <v/>
      </c>
      <c r="AD93" s="3" t="str">
        <f aca="false">IF(ISBLANK(N93),"",ABS(N93-SUMIFS($N$2:$N$205,$A$2:$A$205,$A93,$B$2:$B$205,$B93,$C$2:$C$205,100)))</f>
        <v/>
      </c>
      <c r="AE93" s="3" t="str">
        <f aca="false">IF(ISBLANK(O93),"",ABS(O93-SUMIFS($O$2:$O$205,$A$2:$A$205,$A93,$B$2:$B$205,$B93,$C$2:$C$205,100)))</f>
        <v/>
      </c>
      <c r="AF93" s="3" t="str">
        <f aca="false">IF(ISBLANK(P93),"",ABS(P93-SUMIFS($P$2:$P$205,$A$2:$A$205,$A93,$B$2:$B$205,$B93,$C$2:$C$205,100)))</f>
        <v/>
      </c>
      <c r="AG93" s="3" t="str">
        <f aca="false">IF(ISBLANK(Q93),"",ABS(Q93-SUMIFS($Q$2:$Q$205,$A$2:$A$205,$A93,$B$2:$B$205,$B93,$C$2:$C$205,100)))</f>
        <v/>
      </c>
      <c r="AH93" s="3" t="str">
        <f aca="false">IF(ISBLANK(R93),"",ABS(R93-SUMIFS($R$2:$R$205,$A$2:$A$205,$A93,$B$2:$B$205,$B93,$C$2:$C$205,100)))</f>
        <v/>
      </c>
      <c r="AI93" s="3" t="str">
        <f aca="false">IF(ISBLANK(S93),"",ABS(S93-SUMIFS($S$2:$S$205,$A$2:$A$205,$A93,$B$2:$B$205,$B93,$C$2:$C$205,100)))</f>
        <v/>
      </c>
      <c r="AJ93" s="3" t="n">
        <f aca="false">MAX(V93:AI93)</f>
        <v>0.0399940814419095</v>
      </c>
    </row>
    <row r="94" customFormat="false" ht="15" hidden="false" customHeight="false" outlineLevel="0" collapsed="false">
      <c r="A94" s="2" t="s">
        <v>43</v>
      </c>
      <c r="B94" s="2" t="s">
        <v>38</v>
      </c>
      <c r="C94" s="2" t="n">
        <v>15</v>
      </c>
      <c r="D94" s="3" t="n">
        <v>-1779.97762691938</v>
      </c>
      <c r="E94" s="3" t="n">
        <v>-2.15824772408931</v>
      </c>
      <c r="F94" s="3" t="n">
        <v>-345.815680740352</v>
      </c>
      <c r="G94" s="3" t="n">
        <v>-41.7806810484728</v>
      </c>
      <c r="H94" s="3" t="n">
        <v>-36.8083063541314</v>
      </c>
      <c r="I94" s="3" t="n">
        <v>-4.75422637896121</v>
      </c>
      <c r="J94" s="3" t="n">
        <v>-3.17481401629913</v>
      </c>
      <c r="K94" s="3" t="n">
        <v>-0.524890660807765</v>
      </c>
      <c r="L94" s="3" t="n">
        <v>-0.331443530003508</v>
      </c>
      <c r="M94" s="3"/>
      <c r="N94" s="3"/>
      <c r="O94" s="3"/>
      <c r="P94" s="3"/>
      <c r="Q94" s="3"/>
      <c r="R94" s="3"/>
      <c r="S94" s="3"/>
      <c r="T94" s="3" t="n">
        <f aca="false">ABS(D94-SUMIFS($D$2:$D$205,$A$2:$A$205,$A94,$B$2:$B$205,$B94,$C$2:$C$205,100))</f>
        <v>0.000606157995889589</v>
      </c>
      <c r="U94" s="3" t="n">
        <f aca="false">ABS(E94-SUMIFS($E$2:$E$205,$A$2:$A$205,$A94,$B$2:$B$205,$B94,$C$2:$C$205,100))</f>
        <v>0.000677473716088173</v>
      </c>
      <c r="V94" s="3" t="n">
        <f aca="false">IF(ISBLANK(F94),"",ABS(F94-SUMIFS($F$2:$F$205,$A$2:$A$205,$A94,$B$2:$B$205,$B94,$C$2:$C$205,100)))</f>
        <v>0.0220228504072679</v>
      </c>
      <c r="W94" s="3" t="n">
        <f aca="false">IF(ISBLANK(G94),"",ABS(G94-SUMIFS($G$2:$G$205,$A$2:$A$205,$A94,$B$2:$B$205,$B94,$C$2:$C$205,100)))</f>
        <v>0.0224151315068468</v>
      </c>
      <c r="X94" s="3" t="n">
        <f aca="false">IF(ISBLANK(H94),"",ABS(H94-SUMIFS($H$2:$H$205,$A$2:$A$205,$A94,$B$2:$B$205,$B94,$C$2:$C$205,100)))</f>
        <v>0.0223125092419352</v>
      </c>
      <c r="Y94" s="3" t="n">
        <f aca="false">IF(ISBLANK(I94),"",ABS(I94-SUMIFS($I$2:$I$205,$A$2:$A$205,$A94,$B$2:$B$205,$B94,$C$2:$C$205,100)))</f>
        <v>0.020660173496271</v>
      </c>
      <c r="Z94" s="3" t="n">
        <f aca="false">IF(ISBLANK(J94),"",ABS(J94-SUMIFS($J$2:$J$205,$A$2:$A$205,$A94,$B$2:$B$205,$B94,$C$2:$C$205,100)))</f>
        <v>0.020600276150776</v>
      </c>
      <c r="AA94" s="3" t="n">
        <f aca="false">IF(ISBLANK(K94),"",ABS(K94-SUMIFS($K$2:$K$205,$A$2:$A$205,$A94,$B$2:$B$205,$B94,$C$2:$C$205,100)))</f>
        <v>0.0207834481516558</v>
      </c>
      <c r="AB94" s="3" t="n">
        <f aca="false">IF(ISBLANK(L94),"",ABS(L94-SUMIFS($L$2:$L$205,$A$2:$A$205,$A94,$B$2:$B$205,$B94,$C$2:$C$205,100)))</f>
        <v>0.0205091865682128</v>
      </c>
      <c r="AC94" s="3" t="str">
        <f aca="false">IF(ISBLANK(M94),"",ABS(M94-SUMIFS($M$2:$M$205,$A$2:$A$205,$A94,$B$2:$B$205,$B94,$C$2:$C$205,100)))</f>
        <v/>
      </c>
      <c r="AD94" s="3" t="str">
        <f aca="false">IF(ISBLANK(N94),"",ABS(N94-SUMIFS($N$2:$N$205,$A$2:$A$205,$A94,$B$2:$B$205,$B94,$C$2:$C$205,100)))</f>
        <v/>
      </c>
      <c r="AE94" s="3" t="str">
        <f aca="false">IF(ISBLANK(O94),"",ABS(O94-SUMIFS($O$2:$O$205,$A$2:$A$205,$A94,$B$2:$B$205,$B94,$C$2:$C$205,100)))</f>
        <v/>
      </c>
      <c r="AF94" s="3" t="str">
        <f aca="false">IF(ISBLANK(P94),"",ABS(P94-SUMIFS($P$2:$P$205,$A$2:$A$205,$A94,$B$2:$B$205,$B94,$C$2:$C$205,100)))</f>
        <v/>
      </c>
      <c r="AG94" s="3" t="str">
        <f aca="false">IF(ISBLANK(Q94),"",ABS(Q94-SUMIFS($Q$2:$Q$205,$A$2:$A$205,$A94,$B$2:$B$205,$B94,$C$2:$C$205,100)))</f>
        <v/>
      </c>
      <c r="AH94" s="3" t="str">
        <f aca="false">IF(ISBLANK(R94),"",ABS(R94-SUMIFS($R$2:$R$205,$A$2:$A$205,$A94,$B$2:$B$205,$B94,$C$2:$C$205,100)))</f>
        <v/>
      </c>
      <c r="AI94" s="3" t="str">
        <f aca="false">IF(ISBLANK(S94),"",ABS(S94-SUMIFS($S$2:$S$205,$A$2:$A$205,$A94,$B$2:$B$205,$B94,$C$2:$C$205,100)))</f>
        <v/>
      </c>
      <c r="AJ94" s="3" t="n">
        <f aca="false">MAX(V94:AI94)</f>
        <v>0.0224151315068468</v>
      </c>
    </row>
    <row r="95" customFormat="false" ht="15" hidden="false" customHeight="false" outlineLevel="0" collapsed="false">
      <c r="A95" s="2" t="s">
        <v>43</v>
      </c>
      <c r="B95" s="2" t="s">
        <v>38</v>
      </c>
      <c r="C95" s="2" t="n">
        <v>20</v>
      </c>
      <c r="D95" s="3" t="n">
        <v>-1779.97703226812</v>
      </c>
      <c r="E95" s="3" t="n">
        <v>-2.15865083131644</v>
      </c>
      <c r="F95" s="3" t="n">
        <v>-345.823297401426</v>
      </c>
      <c r="G95" s="3" t="n">
        <v>-41.7886812954442</v>
      </c>
      <c r="H95" s="3" t="n">
        <v>-36.8162721668957</v>
      </c>
      <c r="I95" s="3" t="n">
        <v>-4.76050733208817</v>
      </c>
      <c r="J95" s="3" t="n">
        <v>-3.181040822473</v>
      </c>
      <c r="K95" s="3" t="n">
        <v>-0.531254582385901</v>
      </c>
      <c r="L95" s="3" t="n">
        <v>-0.337622345789977</v>
      </c>
      <c r="M95" s="3"/>
      <c r="N95" s="3"/>
      <c r="O95" s="3"/>
      <c r="P95" s="3"/>
      <c r="Q95" s="3"/>
      <c r="R95" s="3"/>
      <c r="S95" s="3"/>
      <c r="T95" s="3" t="n">
        <f aca="false">ABS(D95-SUMIFS($D$2:$D$205,$A$2:$A$205,$A95,$B$2:$B$205,$B95,$C$2:$C$205,100))</f>
        <v>1.15067368824384E-005</v>
      </c>
      <c r="U95" s="3" t="n">
        <f aca="false">ABS(E95-SUMIFS($E$2:$E$205,$A$2:$A$205,$A95,$B$2:$B$205,$B95,$C$2:$C$205,100))</f>
        <v>0.000274366488957956</v>
      </c>
      <c r="V95" s="3" t="n">
        <f aca="false">IF(ISBLANK(F95),"",ABS(F95-SUMIFS($F$2:$F$205,$A$2:$A$205,$A95,$B$2:$B$205,$B95,$C$2:$C$205,100)))</f>
        <v>0.0144061893327034</v>
      </c>
      <c r="W95" s="3" t="n">
        <f aca="false">IF(ISBLANK(G95),"",ABS(G95-SUMIFS($G$2:$G$205,$A$2:$A$205,$A95,$B$2:$B$205,$B95,$C$2:$C$205,100)))</f>
        <v>0.0144148845354906</v>
      </c>
      <c r="X95" s="3" t="n">
        <f aca="false">IF(ISBLANK(H95),"",ABS(H95-SUMIFS($H$2:$H$205,$A$2:$A$205,$A95,$B$2:$B$205,$B95,$C$2:$C$205,100)))</f>
        <v>0.0143466964775598</v>
      </c>
      <c r="Y95" s="3" t="n">
        <f aca="false">IF(ISBLANK(I95),"",ABS(I95-SUMIFS($I$2:$I$205,$A$2:$A$205,$A95,$B$2:$B$205,$B95,$C$2:$C$205,100)))</f>
        <v>0.0143792203693174</v>
      </c>
      <c r="Z95" s="3" t="n">
        <f aca="false">IF(ISBLANK(J95),"",ABS(J95-SUMIFS($J$2:$J$205,$A$2:$A$205,$A95,$B$2:$B$205,$B95,$C$2:$C$205,100)))</f>
        <v>0.0143734699769049</v>
      </c>
      <c r="AA95" s="3" t="n">
        <f aca="false">IF(ISBLANK(K95),"",ABS(K95-SUMIFS($K$2:$K$205,$A$2:$A$205,$A95,$B$2:$B$205,$B95,$C$2:$C$205,100)))</f>
        <v>0.0144195265735194</v>
      </c>
      <c r="AB95" s="3" t="n">
        <f aca="false">IF(ISBLANK(L95),"",ABS(L95-SUMIFS($L$2:$L$205,$A$2:$A$205,$A95,$B$2:$B$205,$B95,$C$2:$C$205,100)))</f>
        <v>0.0143303707817442</v>
      </c>
      <c r="AC95" s="3" t="str">
        <f aca="false">IF(ISBLANK(M95),"",ABS(M95-SUMIFS($M$2:$M$205,$A$2:$A$205,$A95,$B$2:$B$205,$B95,$C$2:$C$205,100)))</f>
        <v/>
      </c>
      <c r="AD95" s="3" t="str">
        <f aca="false">IF(ISBLANK(N95),"",ABS(N95-SUMIFS($N$2:$N$205,$A$2:$A$205,$A95,$B$2:$B$205,$B95,$C$2:$C$205,100)))</f>
        <v/>
      </c>
      <c r="AE95" s="3" t="str">
        <f aca="false">IF(ISBLANK(O95),"",ABS(O95-SUMIFS($O$2:$O$205,$A$2:$A$205,$A95,$B$2:$B$205,$B95,$C$2:$C$205,100)))</f>
        <v/>
      </c>
      <c r="AF95" s="3" t="str">
        <f aca="false">IF(ISBLANK(P95),"",ABS(P95-SUMIFS($P$2:$P$205,$A$2:$A$205,$A95,$B$2:$B$205,$B95,$C$2:$C$205,100)))</f>
        <v/>
      </c>
      <c r="AG95" s="3" t="str">
        <f aca="false">IF(ISBLANK(Q95),"",ABS(Q95-SUMIFS($Q$2:$Q$205,$A$2:$A$205,$A95,$B$2:$B$205,$B95,$C$2:$C$205,100)))</f>
        <v/>
      </c>
      <c r="AH95" s="3" t="str">
        <f aca="false">IF(ISBLANK(R95),"",ABS(R95-SUMIFS($R$2:$R$205,$A$2:$A$205,$A95,$B$2:$B$205,$B95,$C$2:$C$205,100)))</f>
        <v/>
      </c>
      <c r="AI95" s="3" t="str">
        <f aca="false">IF(ISBLANK(S95),"",ABS(S95-SUMIFS($S$2:$S$205,$A$2:$A$205,$A95,$B$2:$B$205,$B95,$C$2:$C$205,100)))</f>
        <v/>
      </c>
      <c r="AJ95" s="3" t="n">
        <f aca="false">MAX(V95:AI95)</f>
        <v>0.0144195265735194</v>
      </c>
    </row>
    <row r="96" customFormat="false" ht="15" hidden="false" customHeight="false" outlineLevel="0" collapsed="false">
      <c r="A96" s="2" t="s">
        <v>43</v>
      </c>
      <c r="B96" s="2" t="s">
        <v>38</v>
      </c>
      <c r="C96" s="2" t="n">
        <v>30</v>
      </c>
      <c r="D96" s="3" t="n">
        <v>-1779.97702087244</v>
      </c>
      <c r="E96" s="3" t="n">
        <v>-2.15891861175964</v>
      </c>
      <c r="F96" s="3" t="n">
        <v>-345.837225077728</v>
      </c>
      <c r="G96" s="3" t="n">
        <v>-41.8026180982875</v>
      </c>
      <c r="H96" s="3" t="n">
        <v>-36.8301423197896</v>
      </c>
      <c r="I96" s="3" t="n">
        <v>-4.7744110615005</v>
      </c>
      <c r="J96" s="3" t="n">
        <v>-3.19493905551648</v>
      </c>
      <c r="K96" s="3" t="n">
        <v>-0.545197932758025</v>
      </c>
      <c r="L96" s="3" t="n">
        <v>-0.351477463351657</v>
      </c>
      <c r="M96" s="3"/>
      <c r="N96" s="3"/>
      <c r="O96" s="3"/>
      <c r="P96" s="3"/>
      <c r="Q96" s="3"/>
      <c r="R96" s="3"/>
      <c r="S96" s="3"/>
      <c r="T96" s="3" t="n">
        <f aca="false">ABS(D96-SUMIFS($D$2:$D$205,$A$2:$A$205,$A96,$B$2:$B$205,$B96,$C$2:$C$205,100))</f>
        <v>1.11062036012299E-007</v>
      </c>
      <c r="U96" s="3" t="n">
        <f aca="false">ABS(E96-SUMIFS($E$2:$E$205,$A$2:$A$205,$A96,$B$2:$B$205,$B96,$C$2:$C$205,100))</f>
        <v>6.58604575232147E-006</v>
      </c>
      <c r="V96" s="3" t="n">
        <f aca="false">IF(ISBLANK(F96),"",ABS(F96-SUMIFS($F$2:$F$205,$A$2:$A$205,$A96,$B$2:$B$205,$B96,$C$2:$C$205,100)))</f>
        <v>0.000478513031396233</v>
      </c>
      <c r="W96" s="3" t="n">
        <f aca="false">IF(ISBLANK(G96),"",ABS(G96-SUMIFS($G$2:$G$205,$A$2:$A$205,$A96,$B$2:$B$205,$B96,$C$2:$C$205,100)))</f>
        <v>0.000478081692136811</v>
      </c>
      <c r="X96" s="3" t="n">
        <f aca="false">IF(ISBLANK(H96),"",ABS(H96-SUMIFS($H$2:$H$205,$A$2:$A$205,$A96,$B$2:$B$205,$B96,$C$2:$C$205,100)))</f>
        <v>0.000476543583666</v>
      </c>
      <c r="Y96" s="3" t="n">
        <f aca="false">IF(ISBLANK(I96),"",ABS(I96-SUMIFS($I$2:$I$205,$A$2:$A$205,$A96,$B$2:$B$205,$B96,$C$2:$C$205,100)))</f>
        <v>0.000475490956981517</v>
      </c>
      <c r="Z96" s="3" t="n">
        <f aca="false">IF(ISBLANK(J96),"",ABS(J96-SUMIFS($J$2:$J$205,$A$2:$A$205,$A96,$B$2:$B$205,$B96,$C$2:$C$205,100)))</f>
        <v>0.000475236933426881</v>
      </c>
      <c r="AA96" s="3" t="n">
        <f aca="false">IF(ISBLANK(K96),"",ABS(K96-SUMIFS($K$2:$K$205,$A$2:$A$205,$A96,$B$2:$B$205,$B96,$C$2:$C$205,100)))</f>
        <v>0.000476176201395395</v>
      </c>
      <c r="AB96" s="3" t="n">
        <f aca="false">IF(ISBLANK(L96),"",ABS(L96-SUMIFS($L$2:$L$205,$A$2:$A$205,$A96,$B$2:$B$205,$B96,$C$2:$C$205,100)))</f>
        <v>0.000475253220064531</v>
      </c>
      <c r="AC96" s="3" t="str">
        <f aca="false">IF(ISBLANK(M96),"",ABS(M96-SUMIFS($M$2:$M$205,$A$2:$A$205,$A96,$B$2:$B$205,$B96,$C$2:$C$205,100)))</f>
        <v/>
      </c>
      <c r="AD96" s="3" t="str">
        <f aca="false">IF(ISBLANK(N96),"",ABS(N96-SUMIFS($N$2:$N$205,$A$2:$A$205,$A96,$B$2:$B$205,$B96,$C$2:$C$205,100)))</f>
        <v/>
      </c>
      <c r="AE96" s="3" t="str">
        <f aca="false">IF(ISBLANK(O96),"",ABS(O96-SUMIFS($O$2:$O$205,$A$2:$A$205,$A96,$B$2:$B$205,$B96,$C$2:$C$205,100)))</f>
        <v/>
      </c>
      <c r="AF96" s="3" t="str">
        <f aca="false">IF(ISBLANK(P96),"",ABS(P96-SUMIFS($P$2:$P$205,$A$2:$A$205,$A96,$B$2:$B$205,$B96,$C$2:$C$205,100)))</f>
        <v/>
      </c>
      <c r="AG96" s="3" t="str">
        <f aca="false">IF(ISBLANK(Q96),"",ABS(Q96-SUMIFS($Q$2:$Q$205,$A$2:$A$205,$A96,$B$2:$B$205,$B96,$C$2:$C$205,100)))</f>
        <v/>
      </c>
      <c r="AH96" s="3" t="str">
        <f aca="false">IF(ISBLANK(R96),"",ABS(R96-SUMIFS($R$2:$R$205,$A$2:$A$205,$A96,$B$2:$B$205,$B96,$C$2:$C$205,100)))</f>
        <v/>
      </c>
      <c r="AI96" s="3" t="str">
        <f aca="false">IF(ISBLANK(S96),"",ABS(S96-SUMIFS($S$2:$S$205,$A$2:$A$205,$A96,$B$2:$B$205,$B96,$C$2:$C$205,100)))</f>
        <v/>
      </c>
      <c r="AJ96" s="3" t="n">
        <f aca="false">MAX(V96:AI96)</f>
        <v>0.000478513031396233</v>
      </c>
    </row>
    <row r="97" customFormat="false" ht="15" hidden="false" customHeight="false" outlineLevel="0" collapsed="false">
      <c r="A97" s="2" t="s">
        <v>43</v>
      </c>
      <c r="B97" s="2" t="s">
        <v>38</v>
      </c>
      <c r="C97" s="2" t="n">
        <v>50</v>
      </c>
      <c r="D97" s="3" t="n">
        <v>-1779.97702076139</v>
      </c>
      <c r="E97" s="3" t="n">
        <v>-2.15892519638353</v>
      </c>
      <c r="F97" s="3" t="n">
        <v>-345.837703593335</v>
      </c>
      <c r="G97" s="3" t="n">
        <v>-41.8030961825561</v>
      </c>
      <c r="H97" s="3" t="n">
        <v>-36.8306188659393</v>
      </c>
      <c r="I97" s="3" t="n">
        <v>-4.77488655591112</v>
      </c>
      <c r="J97" s="3" t="n">
        <v>-3.19541429618995</v>
      </c>
      <c r="K97" s="3" t="n">
        <v>-0.545674111404142</v>
      </c>
      <c r="L97" s="3" t="n">
        <v>-0.351952720025367</v>
      </c>
      <c r="M97" s="3"/>
      <c r="N97" s="3"/>
      <c r="O97" s="3"/>
      <c r="P97" s="3"/>
      <c r="Q97" s="3"/>
      <c r="R97" s="3"/>
      <c r="S97" s="3"/>
      <c r="T97" s="3" t="n">
        <f aca="false">ABS(D97-SUMIFS($D$2:$D$205,$A$2:$A$205,$A97,$B$2:$B$205,$B97,$C$2:$C$205,100))</f>
        <v>1.29602995002642E-011</v>
      </c>
      <c r="U97" s="3" t="n">
        <f aca="false">ABS(E97-SUMIFS($E$2:$E$205,$A$2:$A$205,$A97,$B$2:$B$205,$B97,$C$2:$C$205,100))</f>
        <v>1.42187017715401E-009</v>
      </c>
      <c r="V97" s="3" t="n">
        <f aca="false">IF(ISBLANK(F97),"",ABS(F97-SUMIFS($F$2:$F$205,$A$2:$A$205,$A97,$B$2:$B$205,$B97,$C$2:$C$205,100)))</f>
        <v>2.57591636909638E-009</v>
      </c>
      <c r="W97" s="3" t="n">
        <f aca="false">IF(ISBLANK(G97),"",ABS(G97-SUMIFS($G$2:$G$205,$A$2:$A$205,$A97,$B$2:$B$205,$B97,$C$2:$C$205,100)))</f>
        <v>2.5764492761482E-009</v>
      </c>
      <c r="X97" s="3" t="n">
        <f aca="false">IF(ISBLANK(H97),"",ABS(H97-SUMIFS($H$2:$H$205,$A$2:$A$205,$A97,$B$2:$B$205,$B97,$C$2:$C$205,100)))</f>
        <v>2.56605403592403E-009</v>
      </c>
      <c r="Y97" s="3" t="n">
        <f aca="false">IF(ISBLANK(I97),"",ABS(I97-SUMIFS($I$2:$I$205,$A$2:$A$205,$A97,$B$2:$B$205,$B97,$C$2:$C$205,100)))</f>
        <v>3.45363915243979E-009</v>
      </c>
      <c r="Z97" s="3" t="n">
        <f aca="false">IF(ISBLANK(J97),"",ABS(J97-SUMIFS($J$2:$J$205,$A$2:$A$205,$A97,$B$2:$B$205,$B97,$C$2:$C$205,100)))</f>
        <v>3.74004294201313E-009</v>
      </c>
      <c r="AA97" s="3" t="n">
        <f aca="false">IF(ISBLANK(K97),"",ABS(K97-SUMIFS($K$2:$K$205,$A$2:$A$205,$A97,$B$2:$B$205,$B97,$C$2:$C$205,100)))</f>
        <v>2.44472175836563E-009</v>
      </c>
      <c r="AB97" s="3" t="n">
        <f aca="false">IF(ISBLANK(L97),"",ABS(L97-SUMIFS($L$2:$L$205,$A$2:$A$205,$A97,$B$2:$B$205,$B97,$C$2:$C$205,100)))</f>
        <v>3.45364570275564E-009</v>
      </c>
      <c r="AC97" s="3" t="str">
        <f aca="false">IF(ISBLANK(M97),"",ABS(M97-SUMIFS($M$2:$M$205,$A$2:$A$205,$A97,$B$2:$B$205,$B97,$C$2:$C$205,100)))</f>
        <v/>
      </c>
      <c r="AD97" s="3" t="str">
        <f aca="false">IF(ISBLANK(N97),"",ABS(N97-SUMIFS($N$2:$N$205,$A$2:$A$205,$A97,$B$2:$B$205,$B97,$C$2:$C$205,100)))</f>
        <v/>
      </c>
      <c r="AE97" s="3" t="str">
        <f aca="false">IF(ISBLANK(O97),"",ABS(O97-SUMIFS($O$2:$O$205,$A$2:$A$205,$A97,$B$2:$B$205,$B97,$C$2:$C$205,100)))</f>
        <v/>
      </c>
      <c r="AF97" s="3" t="str">
        <f aca="false">IF(ISBLANK(P97),"",ABS(P97-SUMIFS($P$2:$P$205,$A$2:$A$205,$A97,$B$2:$B$205,$B97,$C$2:$C$205,100)))</f>
        <v/>
      </c>
      <c r="AG97" s="3" t="str">
        <f aca="false">IF(ISBLANK(Q97),"",ABS(Q97-SUMIFS($Q$2:$Q$205,$A$2:$A$205,$A97,$B$2:$B$205,$B97,$C$2:$C$205,100)))</f>
        <v/>
      </c>
      <c r="AH97" s="3" t="str">
        <f aca="false">IF(ISBLANK(R97),"",ABS(R97-SUMIFS($R$2:$R$205,$A$2:$A$205,$A97,$B$2:$B$205,$B97,$C$2:$C$205,100)))</f>
        <v/>
      </c>
      <c r="AI97" s="3" t="str">
        <f aca="false">IF(ISBLANK(S97),"",ABS(S97-SUMIFS($S$2:$S$205,$A$2:$A$205,$A97,$B$2:$B$205,$B97,$C$2:$C$205,100)))</f>
        <v/>
      </c>
      <c r="AJ97" s="3" t="n">
        <f aca="false">MAX(V97:AI97)</f>
        <v>3.74004294201313E-009</v>
      </c>
    </row>
    <row r="98" customFormat="false" ht="15" hidden="false" customHeight="false" outlineLevel="0" collapsed="false">
      <c r="A98" s="2" t="s">
        <v>43</v>
      </c>
      <c r="B98" s="2" t="s">
        <v>38</v>
      </c>
      <c r="C98" s="2" t="n">
        <v>80</v>
      </c>
      <c r="D98" s="3" t="n">
        <v>-1779.97702076138</v>
      </c>
      <c r="E98" s="3" t="n">
        <v>-2.15892519780462</v>
      </c>
      <c r="F98" s="3" t="n">
        <v>-345.837703590935</v>
      </c>
      <c r="G98" s="3" t="n">
        <v>-41.8030961798632</v>
      </c>
      <c r="H98" s="3" t="n">
        <v>-36.830618863024</v>
      </c>
      <c r="I98" s="3" t="n">
        <v>-4.77488655263344</v>
      </c>
      <c r="J98" s="3" t="n">
        <v>-3.19541429268766</v>
      </c>
      <c r="K98" s="3" t="n">
        <v>-0.54567410895942</v>
      </c>
      <c r="L98" s="3" t="n">
        <v>-0.351952716455306</v>
      </c>
      <c r="M98" s="3"/>
      <c r="N98" s="3"/>
      <c r="O98" s="3"/>
      <c r="P98" s="3"/>
      <c r="Q98" s="3"/>
      <c r="R98" s="3"/>
      <c r="S98" s="3"/>
      <c r="T98" s="3" t="n">
        <f aca="false">ABS(D98-SUMIFS($D$2:$D$205,$A$2:$A$205,$A98,$B$2:$B$205,$B98,$C$2:$C$205,100))</f>
        <v>0</v>
      </c>
      <c r="U98" s="3" t="n">
        <f aca="false">ABS(E98-SUMIFS($E$2:$E$205,$A$2:$A$205,$A98,$B$2:$B$205,$B98,$C$2:$C$205,100))</f>
        <v>7.7626793881791E-013</v>
      </c>
      <c r="V98" s="3" t="n">
        <f aca="false">IF(ISBLANK(F98),"",ABS(F98-SUMIFS($F$2:$F$205,$A$2:$A$205,$A98,$B$2:$B$205,$B98,$C$2:$C$205,100)))</f>
        <v>1.76044068211922E-010</v>
      </c>
      <c r="W98" s="3" t="n">
        <f aca="false">IF(ISBLANK(G98),"",ABS(G98-SUMIFS($G$2:$G$205,$A$2:$A$205,$A98,$B$2:$B$205,$B98,$C$2:$C$205,100)))</f>
        <v>1.16415321826935E-010</v>
      </c>
      <c r="X98" s="3" t="n">
        <f aca="false">IF(ISBLANK(H98),"",ABS(H98-SUMIFS($H$2:$H$205,$A$2:$A$205,$A98,$B$2:$B$205,$B98,$C$2:$C$205,100)))</f>
        <v>3.49245965480804E-010</v>
      </c>
      <c r="Y98" s="3" t="n">
        <f aca="false">IF(ISBLANK(I98),"",ABS(I98-SUMIFS($I$2:$I$205,$A$2:$A$205,$A98,$B$2:$B$205,$B98,$C$2:$C$205,100)))</f>
        <v>1.75955250369952E-010</v>
      </c>
      <c r="Z98" s="3" t="n">
        <f aca="false">IF(ISBLANK(J98),"",ABS(J98-SUMIFS($J$2:$J$205,$A$2:$A$205,$A98,$B$2:$B$205,$B98,$C$2:$C$205,100)))</f>
        <v>2.37748043474539E-010</v>
      </c>
      <c r="AA98" s="3" t="n">
        <f aca="false">IF(ISBLANK(K98),"",ABS(K98-SUMIFS($K$2:$K$205,$A$2:$A$205,$A98,$B$2:$B$205,$B98,$C$2:$C$205,100)))</f>
        <v>0</v>
      </c>
      <c r="AB98" s="3" t="n">
        <f aca="false">IF(ISBLANK(L98),"",ABS(L98-SUMIFS($L$2:$L$205,$A$2:$A$205,$A98,$B$2:$B$205,$B98,$C$2:$C$205,100)))</f>
        <v>1.16415321826935E-010</v>
      </c>
      <c r="AC98" s="3" t="str">
        <f aca="false">IF(ISBLANK(M98),"",ABS(M98-SUMIFS($M$2:$M$205,$A$2:$A$205,$A98,$B$2:$B$205,$B98,$C$2:$C$205,100)))</f>
        <v/>
      </c>
      <c r="AD98" s="3" t="str">
        <f aca="false">IF(ISBLANK(N98),"",ABS(N98-SUMIFS($N$2:$N$205,$A$2:$A$205,$A98,$B$2:$B$205,$B98,$C$2:$C$205,100)))</f>
        <v/>
      </c>
      <c r="AE98" s="3" t="str">
        <f aca="false">IF(ISBLANK(O98),"",ABS(O98-SUMIFS($O$2:$O$205,$A$2:$A$205,$A98,$B$2:$B$205,$B98,$C$2:$C$205,100)))</f>
        <v/>
      </c>
      <c r="AF98" s="3" t="str">
        <f aca="false">IF(ISBLANK(P98),"",ABS(P98-SUMIFS($P$2:$P$205,$A$2:$A$205,$A98,$B$2:$B$205,$B98,$C$2:$C$205,100)))</f>
        <v/>
      </c>
      <c r="AG98" s="3" t="str">
        <f aca="false">IF(ISBLANK(Q98),"",ABS(Q98-SUMIFS($Q$2:$Q$205,$A$2:$A$205,$A98,$B$2:$B$205,$B98,$C$2:$C$205,100)))</f>
        <v/>
      </c>
      <c r="AH98" s="3" t="str">
        <f aca="false">IF(ISBLANK(R98),"",ABS(R98-SUMIFS($R$2:$R$205,$A$2:$A$205,$A98,$B$2:$B$205,$B98,$C$2:$C$205,100)))</f>
        <v/>
      </c>
      <c r="AI98" s="3" t="str">
        <f aca="false">IF(ISBLANK(S98),"",ABS(S98-SUMIFS($S$2:$S$205,$A$2:$A$205,$A98,$B$2:$B$205,$B98,$C$2:$C$205,100)))</f>
        <v/>
      </c>
      <c r="AJ98" s="3" t="n">
        <f aca="false">MAX(V98:AI98)</f>
        <v>3.49245965480804E-010</v>
      </c>
    </row>
    <row r="99" customFormat="false" ht="15" hidden="false" customHeight="false" outlineLevel="0" collapsed="false">
      <c r="A99" s="4" t="s">
        <v>43</v>
      </c>
      <c r="B99" s="4" t="s">
        <v>38</v>
      </c>
      <c r="C99" s="4" t="n">
        <v>100</v>
      </c>
      <c r="D99" s="5" t="n">
        <v>-1779.97702076138</v>
      </c>
      <c r="E99" s="5" t="n">
        <v>-2.1589251978054</v>
      </c>
      <c r="F99" s="3" t="n">
        <v>-345.837703590759</v>
      </c>
      <c r="G99" s="3" t="n">
        <v>-41.8030961799797</v>
      </c>
      <c r="H99" s="3" t="n">
        <v>-36.8306188633733</v>
      </c>
      <c r="I99" s="3" t="n">
        <v>-4.77488655245749</v>
      </c>
      <c r="J99" s="3" t="n">
        <v>-3.19541429244991</v>
      </c>
      <c r="K99" s="3" t="n">
        <v>-0.54567410895942</v>
      </c>
      <c r="L99" s="3" t="n">
        <v>-0.351952716571721</v>
      </c>
      <c r="M99" s="3"/>
      <c r="N99" s="3"/>
      <c r="O99" s="3"/>
      <c r="P99" s="3"/>
      <c r="Q99" s="3"/>
      <c r="R99" s="3"/>
      <c r="S99" s="3"/>
      <c r="T99" s="3" t="n">
        <f aca="false">ABS(D99-SUMIFS($D$2:$D$205,$A$2:$A$205,$A99,$B$2:$B$205,$B99,$C$2:$C$205,100))</f>
        <v>0</v>
      </c>
      <c r="U99" s="3" t="n">
        <f aca="false">ABS(E99-SUMIFS($E$2:$E$205,$A$2:$A$205,$A99,$B$2:$B$205,$B99,$C$2:$C$205,100))</f>
        <v>0</v>
      </c>
      <c r="V99" s="3" t="n">
        <f aca="false">IF(ISBLANK(F99),"",ABS(F99-SUMIFS($F$2:$F$205,$A$2:$A$205,$A99,$B$2:$B$205,$B99,$C$2:$C$205,100)))</f>
        <v>0</v>
      </c>
      <c r="W99" s="3" t="n">
        <f aca="false">IF(ISBLANK(G99),"",ABS(G99-SUMIFS($G$2:$G$205,$A$2:$A$205,$A99,$B$2:$B$205,$B99,$C$2:$C$205,100)))</f>
        <v>0</v>
      </c>
      <c r="X99" s="3" t="n">
        <f aca="false">IF(ISBLANK(H99),"",ABS(H99-SUMIFS($H$2:$H$205,$A$2:$A$205,$A99,$B$2:$B$205,$B99,$C$2:$C$205,100)))</f>
        <v>0</v>
      </c>
      <c r="Y99" s="3" t="n">
        <f aca="false">IF(ISBLANK(I99),"",ABS(I99-SUMIFS($I$2:$I$205,$A$2:$A$205,$A99,$B$2:$B$205,$B99,$C$2:$C$205,100)))</f>
        <v>0</v>
      </c>
      <c r="Z99" s="3" t="n">
        <f aca="false">IF(ISBLANK(J99),"",ABS(J99-SUMIFS($J$2:$J$205,$A$2:$A$205,$A99,$B$2:$B$205,$B99,$C$2:$C$205,100)))</f>
        <v>0</v>
      </c>
      <c r="AA99" s="3" t="n">
        <f aca="false">IF(ISBLANK(K99),"",ABS(K99-SUMIFS($K$2:$K$205,$A$2:$A$205,$A99,$B$2:$B$205,$B99,$C$2:$C$205,100)))</f>
        <v>0</v>
      </c>
      <c r="AB99" s="3" t="n">
        <f aca="false">IF(ISBLANK(L99),"",ABS(L99-SUMIFS($L$2:$L$205,$A$2:$A$205,$A99,$B$2:$B$205,$B99,$C$2:$C$205,100)))</f>
        <v>0</v>
      </c>
      <c r="AC99" s="3" t="str">
        <f aca="false">IF(ISBLANK(M99),"",ABS(M99-SUMIFS($M$2:$M$205,$A$2:$A$205,$A99,$B$2:$B$205,$B99,$C$2:$C$205,100)))</f>
        <v/>
      </c>
      <c r="AD99" s="3" t="str">
        <f aca="false">IF(ISBLANK(N99),"",ABS(N99-SUMIFS($N$2:$N$205,$A$2:$A$205,$A99,$B$2:$B$205,$B99,$C$2:$C$205,100)))</f>
        <v/>
      </c>
      <c r="AE99" s="3" t="str">
        <f aca="false">IF(ISBLANK(O99),"",ABS(O99-SUMIFS($O$2:$O$205,$A$2:$A$205,$A99,$B$2:$B$205,$B99,$C$2:$C$205,100)))</f>
        <v/>
      </c>
      <c r="AF99" s="3" t="str">
        <f aca="false">IF(ISBLANK(P99),"",ABS(P99-SUMIFS($P$2:$P$205,$A$2:$A$205,$A99,$B$2:$B$205,$B99,$C$2:$C$205,100)))</f>
        <v/>
      </c>
      <c r="AG99" s="3" t="str">
        <f aca="false">IF(ISBLANK(Q99),"",ABS(Q99-SUMIFS($Q$2:$Q$205,$A$2:$A$205,$A99,$B$2:$B$205,$B99,$C$2:$C$205,100)))</f>
        <v/>
      </c>
      <c r="AH99" s="3" t="str">
        <f aca="false">IF(ISBLANK(R99),"",ABS(R99-SUMIFS($R$2:$R$205,$A$2:$A$205,$A99,$B$2:$B$205,$B99,$C$2:$C$205,100)))</f>
        <v/>
      </c>
      <c r="AI99" s="3" t="str">
        <f aca="false">IF(ISBLANK(S99),"",ABS(S99-SUMIFS($S$2:$S$205,$A$2:$A$205,$A99,$B$2:$B$205,$B99,$C$2:$C$205,100)))</f>
        <v/>
      </c>
      <c r="AJ99" s="3" t="n">
        <f aca="false">MAX(V99:AI99)</f>
        <v>0</v>
      </c>
    </row>
    <row r="100" customFormat="false" ht="15" hidden="false" customHeight="false" outlineLevel="0" collapsed="false">
      <c r="A100" s="2" t="s">
        <v>43</v>
      </c>
      <c r="B100" s="2" t="s">
        <v>39</v>
      </c>
      <c r="C100" s="2" t="n">
        <v>5</v>
      </c>
      <c r="D100" s="3" t="n">
        <v>-1779.96199334157</v>
      </c>
      <c r="E100" s="3" t="n">
        <v>-2.1643375276631</v>
      </c>
      <c r="F100" s="3" t="n">
        <v>-345.920002057396</v>
      </c>
      <c r="G100" s="3" t="n">
        <v>-41.8768248063011</v>
      </c>
      <c r="H100" s="3" t="n">
        <v>-36.8924939019658</v>
      </c>
      <c r="I100" s="3" t="n">
        <v>-4.75290284609554</v>
      </c>
      <c r="J100" s="3" t="n">
        <v>-3.18003286976649</v>
      </c>
      <c r="K100" s="3" t="n">
        <v>-0.552291927032046</v>
      </c>
      <c r="L100" s="3" t="n">
        <v>-0.31674545733621</v>
      </c>
      <c r="M100" s="3"/>
      <c r="N100" s="3"/>
      <c r="O100" s="3"/>
      <c r="P100" s="3"/>
      <c r="Q100" s="3"/>
      <c r="R100" s="3"/>
      <c r="S100" s="3"/>
      <c r="T100" s="3" t="n">
        <f aca="false">ABS(D100-SUMIFS($D$2:$D$205,$A$2:$A$205,$A100,$B$2:$B$205,$B100,$C$2:$C$205,100))</f>
        <v>0.0150274198140323</v>
      </c>
      <c r="U100" s="3" t="n">
        <f aca="false">ABS(E100-SUMIFS($E$2:$E$205,$A$2:$A$205,$A100,$B$2:$B$205,$B100,$C$2:$C$205,100))</f>
        <v>0.00541232985789497</v>
      </c>
      <c r="V100" s="3" t="n">
        <f aca="false">IF(ISBLANK(F100),"",ABS(F100-SUMIFS($F$2:$F$205,$A$2:$A$205,$A100,$B$2:$B$205,$B100,$C$2:$C$205,100)))</f>
        <v>0.0822984665207969</v>
      </c>
      <c r="W100" s="3" t="n">
        <f aca="false">IF(ISBLANK(G100),"",ABS(G100-SUMIFS($G$2:$G$205,$A$2:$A$205,$A100,$B$2:$B$205,$B100,$C$2:$C$205,100)))</f>
        <v>0.0737286264973989</v>
      </c>
      <c r="X100" s="3" t="n">
        <f aca="false">IF(ISBLANK(H100),"",ABS(H100-SUMIFS($H$2:$H$205,$A$2:$A$205,$A100,$B$2:$B$205,$B100,$C$2:$C$205,100)))</f>
        <v>0.0618750388253346</v>
      </c>
      <c r="Y100" s="3" t="n">
        <f aca="false">IF(ISBLANK(I100),"",ABS(I100-SUMIFS($I$2:$I$205,$A$2:$A$205,$A100,$B$2:$B$205,$B100,$C$2:$C$205,100)))</f>
        <v>0.0219837064783563</v>
      </c>
      <c r="Z100" s="3" t="n">
        <f aca="false">IF(ISBLANK(J100),"",ABS(J100-SUMIFS($J$2:$J$205,$A$2:$A$205,$A100,$B$2:$B$205,$B100,$C$2:$C$205,100)))</f>
        <v>0.0153814230375837</v>
      </c>
      <c r="AA100" s="3" t="n">
        <f aca="false">IF(ISBLANK(K100),"",ABS(K100-SUMIFS($K$2:$K$205,$A$2:$A$205,$A100,$B$2:$B$205,$B100,$C$2:$C$205,100)))</f>
        <v>0.00661781801441763</v>
      </c>
      <c r="AB100" s="3" t="n">
        <f aca="false">IF(ISBLANK(L100),"",ABS(L100-SUMIFS($L$2:$L$205,$A$2:$A$205,$A100,$B$2:$B$205,$B100,$C$2:$C$205,100)))</f>
        <v>0.0352072590595556</v>
      </c>
      <c r="AC100" s="3" t="str">
        <f aca="false">IF(ISBLANK(M100),"",ABS(M100-SUMIFS($M$2:$M$205,$A$2:$A$205,$A100,$B$2:$B$205,$B100,$C$2:$C$205,100)))</f>
        <v/>
      </c>
      <c r="AD100" s="3" t="str">
        <f aca="false">IF(ISBLANK(N100),"",ABS(N100-SUMIFS($N$2:$N$205,$A$2:$A$205,$A100,$B$2:$B$205,$B100,$C$2:$C$205,100)))</f>
        <v/>
      </c>
      <c r="AE100" s="3" t="str">
        <f aca="false">IF(ISBLANK(O100),"",ABS(O100-SUMIFS($O$2:$O$205,$A$2:$A$205,$A100,$B$2:$B$205,$B100,$C$2:$C$205,100)))</f>
        <v/>
      </c>
      <c r="AF100" s="3" t="str">
        <f aca="false">IF(ISBLANK(P100),"",ABS(P100-SUMIFS($P$2:$P$205,$A$2:$A$205,$A100,$B$2:$B$205,$B100,$C$2:$C$205,100)))</f>
        <v/>
      </c>
      <c r="AG100" s="3" t="str">
        <f aca="false">IF(ISBLANK(Q100),"",ABS(Q100-SUMIFS($Q$2:$Q$205,$A$2:$A$205,$A100,$B$2:$B$205,$B100,$C$2:$C$205,100)))</f>
        <v/>
      </c>
      <c r="AH100" s="3" t="str">
        <f aca="false">IF(ISBLANK(R100),"",ABS(R100-SUMIFS($R$2:$R$205,$A$2:$A$205,$A100,$B$2:$B$205,$B100,$C$2:$C$205,100)))</f>
        <v/>
      </c>
      <c r="AI100" s="3" t="str">
        <f aca="false">IF(ISBLANK(S100),"",ABS(S100-SUMIFS($S$2:$S$205,$A$2:$A$205,$A100,$B$2:$B$205,$B100,$C$2:$C$205,100)))</f>
        <v/>
      </c>
      <c r="AJ100" s="3" t="n">
        <f aca="false">MAX(V100:AI100)</f>
        <v>0.0822984665207969</v>
      </c>
    </row>
    <row r="101" customFormat="false" ht="15" hidden="false" customHeight="false" outlineLevel="0" collapsed="false">
      <c r="A101" s="2" t="s">
        <v>43</v>
      </c>
      <c r="B101" s="2" t="s">
        <v>39</v>
      </c>
      <c r="C101" s="2" t="n">
        <v>10</v>
      </c>
      <c r="D101" s="3" t="n">
        <v>-1779.91085451702</v>
      </c>
      <c r="E101" s="3" t="n">
        <v>-2.09695216820377</v>
      </c>
      <c r="F101" s="3" t="n">
        <v>-345.819409620456</v>
      </c>
      <c r="G101" s="3" t="n">
        <v>-41.7833222964342</v>
      </c>
      <c r="H101" s="3" t="n">
        <v>-36.8030024560524</v>
      </c>
      <c r="I101" s="3" t="n">
        <v>-4.78061592363802</v>
      </c>
      <c r="J101" s="3" t="n">
        <v>-3.20062988848411</v>
      </c>
      <c r="K101" s="3" t="n">
        <v>-0.552647949455878</v>
      </c>
      <c r="L101" s="3" t="n">
        <v>-0.365493355625943</v>
      </c>
      <c r="M101" s="3"/>
      <c r="N101" s="3"/>
      <c r="O101" s="3"/>
      <c r="P101" s="3"/>
      <c r="Q101" s="3"/>
      <c r="R101" s="3"/>
      <c r="S101" s="3"/>
      <c r="T101" s="3" t="n">
        <f aca="false">ABS(D101-SUMIFS($D$2:$D$205,$A$2:$A$205,$A101,$B$2:$B$205,$B101,$C$2:$C$205,100))</f>
        <v>0.0661662443640125</v>
      </c>
      <c r="U101" s="3" t="n">
        <f aca="false">ABS(E101-SUMIFS($E$2:$E$205,$A$2:$A$205,$A101,$B$2:$B$205,$B101,$C$2:$C$205,100))</f>
        <v>0.0619730296014391</v>
      </c>
      <c r="V101" s="3" t="n">
        <f aca="false">IF(ISBLANK(F101),"",ABS(F101-SUMIFS($F$2:$F$205,$A$2:$A$205,$A101,$B$2:$B$205,$B101,$C$2:$C$205,100)))</f>
        <v>0.0182939704199043</v>
      </c>
      <c r="W101" s="3" t="n">
        <f aca="false">IF(ISBLANK(G101),"",ABS(G101-SUMIFS($G$2:$G$205,$A$2:$A$205,$A101,$B$2:$B$205,$B101,$C$2:$C$205,100)))</f>
        <v>0.0197738833695098</v>
      </c>
      <c r="X101" s="3" t="n">
        <f aca="false">IF(ISBLANK(H101),"",ABS(H101-SUMIFS($H$2:$H$205,$A$2:$A$205,$A101,$B$2:$B$205,$B101,$C$2:$C$205,100)))</f>
        <v>0.0276164070880611</v>
      </c>
      <c r="Y101" s="3" t="n">
        <f aca="false">IF(ISBLANK(I101),"",ABS(I101-SUMIFS($I$2:$I$205,$A$2:$A$205,$A101,$B$2:$B$205,$B101,$C$2:$C$205,100)))</f>
        <v>0.00572937106412397</v>
      </c>
      <c r="Z101" s="3" t="n">
        <f aca="false">IF(ISBLANK(J101),"",ABS(J101-SUMIFS($J$2:$J$205,$A$2:$A$205,$A101,$B$2:$B$205,$B101,$C$2:$C$205,100)))</f>
        <v>0.00521559568004193</v>
      </c>
      <c r="AA101" s="3" t="n">
        <f aca="false">IF(ISBLANK(K101),"",ABS(K101-SUMIFS($K$2:$K$205,$A$2:$A$205,$A101,$B$2:$B$205,$B101,$C$2:$C$205,100)))</f>
        <v>0.00697384043825022</v>
      </c>
      <c r="AB101" s="3" t="n">
        <f aca="false">IF(ISBLANK(L101),"",ABS(L101-SUMIFS($L$2:$L$205,$A$2:$A$205,$A101,$B$2:$B$205,$B101,$C$2:$C$205,100)))</f>
        <v>0.0135406392301775</v>
      </c>
      <c r="AC101" s="3" t="str">
        <f aca="false">IF(ISBLANK(M101),"",ABS(M101-SUMIFS($M$2:$M$205,$A$2:$A$205,$A101,$B$2:$B$205,$B101,$C$2:$C$205,100)))</f>
        <v/>
      </c>
      <c r="AD101" s="3" t="str">
        <f aca="false">IF(ISBLANK(N101),"",ABS(N101-SUMIFS($N$2:$N$205,$A$2:$A$205,$A101,$B$2:$B$205,$B101,$C$2:$C$205,100)))</f>
        <v/>
      </c>
      <c r="AE101" s="3" t="str">
        <f aca="false">IF(ISBLANK(O101),"",ABS(O101-SUMIFS($O$2:$O$205,$A$2:$A$205,$A101,$B$2:$B$205,$B101,$C$2:$C$205,100)))</f>
        <v/>
      </c>
      <c r="AF101" s="3" t="str">
        <f aca="false">IF(ISBLANK(P101),"",ABS(P101-SUMIFS($P$2:$P$205,$A$2:$A$205,$A101,$B$2:$B$205,$B101,$C$2:$C$205,100)))</f>
        <v/>
      </c>
      <c r="AG101" s="3" t="str">
        <f aca="false">IF(ISBLANK(Q101),"",ABS(Q101-SUMIFS($Q$2:$Q$205,$A$2:$A$205,$A101,$B$2:$B$205,$B101,$C$2:$C$205,100)))</f>
        <v/>
      </c>
      <c r="AH101" s="3" t="str">
        <f aca="false">IF(ISBLANK(R101),"",ABS(R101-SUMIFS($R$2:$R$205,$A$2:$A$205,$A101,$B$2:$B$205,$B101,$C$2:$C$205,100)))</f>
        <v/>
      </c>
      <c r="AI101" s="3" t="str">
        <f aca="false">IF(ISBLANK(S101),"",ABS(S101-SUMIFS($S$2:$S$205,$A$2:$A$205,$A101,$B$2:$B$205,$B101,$C$2:$C$205,100)))</f>
        <v/>
      </c>
      <c r="AJ101" s="3" t="n">
        <f aca="false">MAX(V101:AI101)</f>
        <v>0.0276164070880611</v>
      </c>
    </row>
    <row r="102" customFormat="false" ht="15" hidden="false" customHeight="false" outlineLevel="0" collapsed="false">
      <c r="A102" s="2" t="s">
        <v>43</v>
      </c>
      <c r="B102" s="2" t="s">
        <v>39</v>
      </c>
      <c r="C102" s="2" t="n">
        <v>15</v>
      </c>
      <c r="D102" s="3" t="n">
        <v>-1779.98362597551</v>
      </c>
      <c r="E102" s="3" t="n">
        <v>-2.16552487151625</v>
      </c>
      <c r="F102" s="3" t="n">
        <v>-345.821985325781</v>
      </c>
      <c r="G102" s="3" t="n">
        <v>-41.7924734248858</v>
      </c>
      <c r="H102" s="3" t="n">
        <v>-36.8194574247527</v>
      </c>
      <c r="I102" s="3" t="n">
        <v>-4.76905276426685</v>
      </c>
      <c r="J102" s="3" t="n">
        <v>-3.18992114665454</v>
      </c>
      <c r="K102" s="3" t="n">
        <v>-0.54056550483892</v>
      </c>
      <c r="L102" s="3" t="n">
        <v>-0.346976935258355</v>
      </c>
      <c r="M102" s="3"/>
      <c r="N102" s="3"/>
      <c r="O102" s="3"/>
      <c r="P102" s="3"/>
      <c r="Q102" s="3"/>
      <c r="R102" s="3"/>
      <c r="S102" s="3"/>
      <c r="T102" s="3" t="n">
        <f aca="false">ABS(D102-SUMIFS($D$2:$D$205,$A$2:$A$205,$A102,$B$2:$B$205,$B102,$C$2:$C$205,100))</f>
        <v>0.00660521412805792</v>
      </c>
      <c r="U102" s="3" t="n">
        <f aca="false">ABS(E102-SUMIFS($E$2:$E$205,$A$2:$A$205,$A102,$B$2:$B$205,$B102,$C$2:$C$205,100))</f>
        <v>0.00659967371104386</v>
      </c>
      <c r="V102" s="3" t="n">
        <f aca="false">IF(ISBLANK(F102),"",ABS(F102-SUMIFS($F$2:$F$205,$A$2:$A$205,$A102,$B$2:$B$205,$B102,$C$2:$C$205,100)))</f>
        <v>0.015718265094165</v>
      </c>
      <c r="W102" s="3" t="n">
        <f aca="false">IF(ISBLANK(G102),"",ABS(G102-SUMIFS($G$2:$G$205,$A$2:$A$205,$A102,$B$2:$B$205,$B102,$C$2:$C$205,100)))</f>
        <v>0.0106227549178897</v>
      </c>
      <c r="X102" s="3" t="n">
        <f aca="false">IF(ISBLANK(H102),"",ABS(H102-SUMIFS($H$2:$H$205,$A$2:$A$205,$A102,$B$2:$B$205,$B102,$C$2:$C$205,100)))</f>
        <v>0.011161438387731</v>
      </c>
      <c r="Y102" s="3" t="n">
        <f aca="false">IF(ISBLANK(I102),"",ABS(I102-SUMIFS($I$2:$I$205,$A$2:$A$205,$A102,$B$2:$B$205,$B102,$C$2:$C$205,100)))</f>
        <v>0.00583378830705073</v>
      </c>
      <c r="Z102" s="3" t="n">
        <f aca="false">IF(ISBLANK(J102),"",ABS(J102-SUMIFS($J$2:$J$205,$A$2:$A$205,$A102,$B$2:$B$205,$B102,$C$2:$C$205,100)))</f>
        <v>0.00549314614952579</v>
      </c>
      <c r="AA102" s="3" t="n">
        <f aca="false">IF(ISBLANK(K102),"",ABS(K102-SUMIFS($K$2:$K$205,$A$2:$A$205,$A102,$B$2:$B$205,$B102,$C$2:$C$205,100)))</f>
        <v>0.00510860417870851</v>
      </c>
      <c r="AB102" s="3" t="n">
        <f aca="false">IF(ISBLANK(L102),"",ABS(L102-SUMIFS($L$2:$L$205,$A$2:$A$205,$A102,$B$2:$B$205,$B102,$C$2:$C$205,100)))</f>
        <v>0.00497578113741054</v>
      </c>
      <c r="AC102" s="3" t="str">
        <f aca="false">IF(ISBLANK(M102),"",ABS(M102-SUMIFS($M$2:$M$205,$A$2:$A$205,$A102,$B$2:$B$205,$B102,$C$2:$C$205,100)))</f>
        <v/>
      </c>
      <c r="AD102" s="3" t="str">
        <f aca="false">IF(ISBLANK(N102),"",ABS(N102-SUMIFS($N$2:$N$205,$A$2:$A$205,$A102,$B$2:$B$205,$B102,$C$2:$C$205,100)))</f>
        <v/>
      </c>
      <c r="AE102" s="3" t="str">
        <f aca="false">IF(ISBLANK(O102),"",ABS(O102-SUMIFS($O$2:$O$205,$A$2:$A$205,$A102,$B$2:$B$205,$B102,$C$2:$C$205,100)))</f>
        <v/>
      </c>
      <c r="AF102" s="3" t="str">
        <f aca="false">IF(ISBLANK(P102),"",ABS(P102-SUMIFS($P$2:$P$205,$A$2:$A$205,$A102,$B$2:$B$205,$B102,$C$2:$C$205,100)))</f>
        <v/>
      </c>
      <c r="AG102" s="3" t="str">
        <f aca="false">IF(ISBLANK(Q102),"",ABS(Q102-SUMIFS($Q$2:$Q$205,$A$2:$A$205,$A102,$B$2:$B$205,$B102,$C$2:$C$205,100)))</f>
        <v/>
      </c>
      <c r="AH102" s="3" t="str">
        <f aca="false">IF(ISBLANK(R102),"",ABS(R102-SUMIFS($R$2:$R$205,$A$2:$A$205,$A102,$B$2:$B$205,$B102,$C$2:$C$205,100)))</f>
        <v/>
      </c>
      <c r="AI102" s="3" t="str">
        <f aca="false">IF(ISBLANK(S102),"",ABS(S102-SUMIFS($S$2:$S$205,$A$2:$A$205,$A102,$B$2:$B$205,$B102,$C$2:$C$205,100)))</f>
        <v/>
      </c>
      <c r="AJ102" s="3" t="n">
        <f aca="false">MAX(V102:AI102)</f>
        <v>0.015718265094165</v>
      </c>
    </row>
    <row r="103" customFormat="false" ht="15" hidden="false" customHeight="false" outlineLevel="0" collapsed="false">
      <c r="A103" s="2" t="s">
        <v>43</v>
      </c>
      <c r="B103" s="2" t="s">
        <v>39</v>
      </c>
      <c r="C103" s="2" t="n">
        <v>20</v>
      </c>
      <c r="D103" s="3" t="n">
        <v>-1779.97856549777</v>
      </c>
      <c r="E103" s="3" t="n">
        <v>-2.16048757568736</v>
      </c>
      <c r="F103" s="3" t="n">
        <v>-345.835605924628</v>
      </c>
      <c r="G103" s="3" t="n">
        <v>-41.8033432148452</v>
      </c>
      <c r="H103" s="3" t="n">
        <v>-36.830790521435</v>
      </c>
      <c r="I103" s="3" t="n">
        <v>-4.7747069144911</v>
      </c>
      <c r="J103" s="3" t="n">
        <v>-3.19522755829114</v>
      </c>
      <c r="K103" s="3" t="n">
        <v>-0.545560014923679</v>
      </c>
      <c r="L103" s="3" t="n">
        <v>-0.351864200411434</v>
      </c>
      <c r="M103" s="3"/>
      <c r="N103" s="3"/>
      <c r="O103" s="3"/>
      <c r="P103" s="3"/>
      <c r="Q103" s="3"/>
      <c r="R103" s="3"/>
      <c r="S103" s="3"/>
      <c r="T103" s="3" t="n">
        <f aca="false">ABS(D103-SUMIFS($D$2:$D$205,$A$2:$A$205,$A103,$B$2:$B$205,$B103,$C$2:$C$205,100))</f>
        <v>0.00154473638599484</v>
      </c>
      <c r="U103" s="3" t="n">
        <f aca="false">ABS(E103-SUMIFS($E$2:$E$205,$A$2:$A$205,$A103,$B$2:$B$205,$B103,$C$2:$C$205,100))</f>
        <v>0.00156237788215785</v>
      </c>
      <c r="V103" s="3" t="n">
        <f aca="false">IF(ISBLANK(F103),"",ABS(F103-SUMIFS($F$2:$F$205,$A$2:$A$205,$A103,$B$2:$B$205,$B103,$C$2:$C$205,100)))</f>
        <v>0.00209766624726626</v>
      </c>
      <c r="W103" s="3" t="n">
        <f aca="false">IF(ISBLANK(G103),"",ABS(G103-SUMIFS($G$2:$G$205,$A$2:$A$205,$A103,$B$2:$B$205,$B103,$C$2:$C$205,100)))</f>
        <v>0.00024703504146828</v>
      </c>
      <c r="X103" s="3" t="n">
        <f aca="false">IF(ISBLANK(H103),"",ABS(H103-SUMIFS($H$2:$H$205,$A$2:$A$205,$A103,$B$2:$B$205,$B103,$C$2:$C$205,100)))</f>
        <v>0.000171658294568999</v>
      </c>
      <c r="Y103" s="3" t="n">
        <f aca="false">IF(ISBLANK(I103),"",ABS(I103-SUMIFS($I$2:$I$205,$A$2:$A$205,$A103,$B$2:$B$205,$B103,$C$2:$C$205,100)))</f>
        <v>0.000179638082803635</v>
      </c>
      <c r="Z103" s="3" t="n">
        <f aca="false">IF(ISBLANK(J103),"",ABS(J103-SUMIFS($J$2:$J$205,$A$2:$A$205,$A103,$B$2:$B$205,$B103,$C$2:$C$205,100)))</f>
        <v>0.000186734512928055</v>
      </c>
      <c r="AA103" s="3" t="n">
        <f aca="false">IF(ISBLANK(K103),"",ABS(K103-SUMIFS($K$2:$K$205,$A$2:$A$205,$A103,$B$2:$B$205,$B103,$C$2:$C$205,100)))</f>
        <v>0.000114094093949468</v>
      </c>
      <c r="AB103" s="3" t="n">
        <f aca="false">IF(ISBLANK(L103),"",ABS(L103-SUMIFS($L$2:$L$205,$A$2:$A$205,$A103,$B$2:$B$205,$B103,$C$2:$C$205,100)))</f>
        <v>8.85159843316274E-005</v>
      </c>
      <c r="AC103" s="3" t="str">
        <f aca="false">IF(ISBLANK(M103),"",ABS(M103-SUMIFS($M$2:$M$205,$A$2:$A$205,$A103,$B$2:$B$205,$B103,$C$2:$C$205,100)))</f>
        <v/>
      </c>
      <c r="AD103" s="3" t="str">
        <f aca="false">IF(ISBLANK(N103),"",ABS(N103-SUMIFS($N$2:$N$205,$A$2:$A$205,$A103,$B$2:$B$205,$B103,$C$2:$C$205,100)))</f>
        <v/>
      </c>
      <c r="AE103" s="3" t="str">
        <f aca="false">IF(ISBLANK(O103),"",ABS(O103-SUMIFS($O$2:$O$205,$A$2:$A$205,$A103,$B$2:$B$205,$B103,$C$2:$C$205,100)))</f>
        <v/>
      </c>
      <c r="AF103" s="3" t="str">
        <f aca="false">IF(ISBLANK(P103),"",ABS(P103-SUMIFS($P$2:$P$205,$A$2:$A$205,$A103,$B$2:$B$205,$B103,$C$2:$C$205,100)))</f>
        <v/>
      </c>
      <c r="AG103" s="3" t="str">
        <f aca="false">IF(ISBLANK(Q103),"",ABS(Q103-SUMIFS($Q$2:$Q$205,$A$2:$A$205,$A103,$B$2:$B$205,$B103,$C$2:$C$205,100)))</f>
        <v/>
      </c>
      <c r="AH103" s="3" t="str">
        <f aca="false">IF(ISBLANK(R103),"",ABS(R103-SUMIFS($R$2:$R$205,$A$2:$A$205,$A103,$B$2:$B$205,$B103,$C$2:$C$205,100)))</f>
        <v/>
      </c>
      <c r="AI103" s="3" t="str">
        <f aca="false">IF(ISBLANK(S103),"",ABS(S103-SUMIFS($S$2:$S$205,$A$2:$A$205,$A103,$B$2:$B$205,$B103,$C$2:$C$205,100)))</f>
        <v/>
      </c>
      <c r="AJ103" s="3" t="n">
        <f aca="false">MAX(V103:AI103)</f>
        <v>0.00209766624726626</v>
      </c>
    </row>
    <row r="104" customFormat="false" ht="15" hidden="false" customHeight="false" outlineLevel="0" collapsed="false">
      <c r="A104" s="2" t="s">
        <v>43</v>
      </c>
      <c r="B104" s="2" t="s">
        <v>39</v>
      </c>
      <c r="C104" s="2" t="n">
        <v>30</v>
      </c>
      <c r="D104" s="3" t="n">
        <v>-1779.97700757262</v>
      </c>
      <c r="E104" s="3" t="n">
        <v>-2.15891239574006</v>
      </c>
      <c r="F104" s="3" t="n">
        <v>-345.837920212681</v>
      </c>
      <c r="G104" s="3" t="n">
        <v>-41.8032149061848</v>
      </c>
      <c r="H104" s="3" t="n">
        <v>-36.8307404252221</v>
      </c>
      <c r="I104" s="3" t="n">
        <v>-4.77493415273945</v>
      </c>
      <c r="J104" s="3" t="n">
        <v>-3.19545847184924</v>
      </c>
      <c r="K104" s="3" t="n">
        <v>-0.545714656161805</v>
      </c>
      <c r="L104" s="3" t="n">
        <v>-0.351995552236504</v>
      </c>
      <c r="M104" s="3"/>
      <c r="N104" s="3"/>
      <c r="O104" s="3"/>
      <c r="P104" s="3"/>
      <c r="Q104" s="3"/>
      <c r="R104" s="3"/>
      <c r="S104" s="3"/>
      <c r="T104" s="3" t="n">
        <f aca="false">ABS(D104-SUMIFS($D$2:$D$205,$A$2:$A$205,$A104,$B$2:$B$205,$B104,$C$2:$C$205,100))</f>
        <v>1.31887620682392E-005</v>
      </c>
      <c r="U104" s="3" t="n">
        <f aca="false">ABS(E104-SUMIFS($E$2:$E$205,$A$2:$A$205,$A104,$B$2:$B$205,$B104,$C$2:$C$205,100))</f>
        <v>1.28020651510852E-005</v>
      </c>
      <c r="V104" s="3" t="n">
        <f aca="false">IF(ISBLANK(F104),"",ABS(F104-SUMIFS($F$2:$F$205,$A$2:$A$205,$A104,$B$2:$B$205,$B104,$C$2:$C$205,100)))</f>
        <v>0.000216621805634531</v>
      </c>
      <c r="W104" s="3" t="n">
        <f aca="false">IF(ISBLANK(G104),"",ABS(G104-SUMIFS($G$2:$G$205,$A$2:$A$205,$A104,$B$2:$B$205,$B104,$C$2:$C$205,100)))</f>
        <v>0.000118726381124645</v>
      </c>
      <c r="X104" s="3" t="n">
        <f aca="false">IF(ISBLANK(H104),"",ABS(H104-SUMIFS($H$2:$H$205,$A$2:$A$205,$A104,$B$2:$B$205,$B104,$C$2:$C$205,100)))</f>
        <v>0.000121562081659476</v>
      </c>
      <c r="Y104" s="3" t="n">
        <f aca="false">IF(ISBLANK(I104),"",ABS(I104-SUMIFS($I$2:$I$205,$A$2:$A$205,$A104,$B$2:$B$205,$B104,$C$2:$C$205,100)))</f>
        <v>4.76001655478342E-005</v>
      </c>
      <c r="Z104" s="3" t="n">
        <f aca="false">IF(ISBLANK(J104),"",ABS(J104-SUMIFS($J$2:$J$205,$A$2:$A$205,$A104,$B$2:$B$205,$B104,$C$2:$C$205,100)))</f>
        <v>4.41790451670698E-005</v>
      </c>
      <c r="AA104" s="3" t="n">
        <f aca="false">IF(ISBLANK(K104),"",ABS(K104-SUMIFS($K$2:$K$205,$A$2:$A$205,$A104,$B$2:$B$205,$B104,$C$2:$C$205,100)))</f>
        <v>4.05471441768945E-005</v>
      </c>
      <c r="AB104" s="3" t="n">
        <f aca="false">IF(ISBLANK(L104),"",ABS(L104-SUMIFS($L$2:$L$205,$A$2:$A$205,$A104,$B$2:$B$205,$B104,$C$2:$C$205,100)))</f>
        <v>4.2835840737887E-005</v>
      </c>
      <c r="AC104" s="3" t="str">
        <f aca="false">IF(ISBLANK(M104),"",ABS(M104-SUMIFS($M$2:$M$205,$A$2:$A$205,$A104,$B$2:$B$205,$B104,$C$2:$C$205,100)))</f>
        <v/>
      </c>
      <c r="AD104" s="3" t="str">
        <f aca="false">IF(ISBLANK(N104),"",ABS(N104-SUMIFS($N$2:$N$205,$A$2:$A$205,$A104,$B$2:$B$205,$B104,$C$2:$C$205,100)))</f>
        <v/>
      </c>
      <c r="AE104" s="3" t="str">
        <f aca="false">IF(ISBLANK(O104),"",ABS(O104-SUMIFS($O$2:$O$205,$A$2:$A$205,$A104,$B$2:$B$205,$B104,$C$2:$C$205,100)))</f>
        <v/>
      </c>
      <c r="AF104" s="3" t="str">
        <f aca="false">IF(ISBLANK(P104),"",ABS(P104-SUMIFS($P$2:$P$205,$A$2:$A$205,$A104,$B$2:$B$205,$B104,$C$2:$C$205,100)))</f>
        <v/>
      </c>
      <c r="AG104" s="3" t="str">
        <f aca="false">IF(ISBLANK(Q104),"",ABS(Q104-SUMIFS($Q$2:$Q$205,$A$2:$A$205,$A104,$B$2:$B$205,$B104,$C$2:$C$205,100)))</f>
        <v/>
      </c>
      <c r="AH104" s="3" t="str">
        <f aca="false">IF(ISBLANK(R104),"",ABS(R104-SUMIFS($R$2:$R$205,$A$2:$A$205,$A104,$B$2:$B$205,$B104,$C$2:$C$205,100)))</f>
        <v/>
      </c>
      <c r="AI104" s="3" t="str">
        <f aca="false">IF(ISBLANK(S104),"",ABS(S104-SUMIFS($S$2:$S$205,$A$2:$A$205,$A104,$B$2:$B$205,$B104,$C$2:$C$205,100)))</f>
        <v/>
      </c>
      <c r="AJ104" s="3" t="n">
        <f aca="false">MAX(V104:AI104)</f>
        <v>0.000216621805634531</v>
      </c>
    </row>
    <row r="105" customFormat="false" ht="15" hidden="false" customHeight="false" outlineLevel="0" collapsed="false">
      <c r="A105" s="2" t="s">
        <v>43</v>
      </c>
      <c r="B105" s="2" t="s">
        <v>39</v>
      </c>
      <c r="C105" s="2" t="n">
        <v>50</v>
      </c>
      <c r="D105" s="3" t="n">
        <v>-1779.97702077775</v>
      </c>
      <c r="E105" s="3" t="n">
        <v>-2.15892521367832</v>
      </c>
      <c r="F105" s="3" t="n">
        <v>-345.837703372603</v>
      </c>
      <c r="G105" s="3" t="n">
        <v>-41.803096110492</v>
      </c>
      <c r="H105" s="3" t="n">
        <v>-36.8306188003616</v>
      </c>
      <c r="I105" s="3" t="n">
        <v>-4.77488646983065</v>
      </c>
      <c r="J105" s="3" t="n">
        <v>-3.19541421241327</v>
      </c>
      <c r="K105" s="3" t="n">
        <v>-0.545674030856576</v>
      </c>
      <c r="L105" s="3" t="n">
        <v>-0.35195263716306</v>
      </c>
      <c r="M105" s="3"/>
      <c r="N105" s="3"/>
      <c r="O105" s="3"/>
      <c r="P105" s="3"/>
      <c r="Q105" s="3"/>
      <c r="R105" s="3"/>
      <c r="S105" s="3"/>
      <c r="T105" s="3" t="n">
        <f aca="false">ABS(D105-SUMIFS($D$2:$D$205,$A$2:$A$205,$A105,$B$2:$B$205,$B105,$C$2:$C$205,100))</f>
        <v>1.63640834216494E-008</v>
      </c>
      <c r="U105" s="3" t="n">
        <f aca="false">ABS(E105-SUMIFS($E$2:$E$205,$A$2:$A$205,$A105,$B$2:$B$205,$B105,$C$2:$C$205,100))</f>
        <v>1.58731179311644E-008</v>
      </c>
      <c r="V105" s="3" t="n">
        <f aca="false">IF(ISBLANK(F105),"",ABS(F105-SUMIFS($F$2:$F$205,$A$2:$A$205,$A105,$B$2:$B$205,$B105,$C$2:$C$205,100)))</f>
        <v>2.18272418806009E-007</v>
      </c>
      <c r="W105" s="3" t="n">
        <f aca="false">IF(ISBLANK(G105),"",ABS(G105-SUMIFS($G$2:$G$205,$A$2:$A$205,$A105,$B$2:$B$205,$B105,$C$2:$C$205,100)))</f>
        <v>6.9311738570832E-008</v>
      </c>
      <c r="X105" s="3" t="n">
        <f aca="false">IF(ISBLANK(H105),"",ABS(H105-SUMIFS($H$2:$H$205,$A$2:$A$205,$A105,$B$2:$B$205,$B105,$C$2:$C$205,100)))</f>
        <v>6.27788665497064E-008</v>
      </c>
      <c r="Y105" s="3" t="n">
        <f aca="false">IF(ISBLANK(I105),"",ABS(I105-SUMIFS($I$2:$I$205,$A$2:$A$205,$A105,$B$2:$B$205,$B105,$C$2:$C$205,100)))</f>
        <v>8.27432486971702E-008</v>
      </c>
      <c r="Z105" s="3" t="n">
        <f aca="false">IF(ISBLANK(J105),"",ABS(J105-SUMIFS($J$2:$J$205,$A$2:$A$205,$A105,$B$2:$B$205,$B105,$C$2:$C$205,100)))</f>
        <v>8.03908029034517E-008</v>
      </c>
      <c r="AA105" s="3" t="n">
        <f aca="false">IF(ISBLANK(K105),"",ABS(K105-SUMIFS($K$2:$K$205,$A$2:$A$205,$A105,$B$2:$B$205,$B105,$C$2:$C$205,100)))</f>
        <v>7.8161052075032E-008</v>
      </c>
      <c r="AB105" s="3" t="n">
        <f aca="false">IF(ISBLANK(L105),"",ABS(L105-SUMIFS($L$2:$L$205,$A$2:$A$205,$A105,$B$2:$B$205,$B105,$C$2:$C$205,100)))</f>
        <v>7.92327055076925E-008</v>
      </c>
      <c r="AC105" s="3" t="str">
        <f aca="false">IF(ISBLANK(M105),"",ABS(M105-SUMIFS($M$2:$M$205,$A$2:$A$205,$A105,$B$2:$B$205,$B105,$C$2:$C$205,100)))</f>
        <v/>
      </c>
      <c r="AD105" s="3" t="str">
        <f aca="false">IF(ISBLANK(N105),"",ABS(N105-SUMIFS($N$2:$N$205,$A$2:$A$205,$A105,$B$2:$B$205,$B105,$C$2:$C$205,100)))</f>
        <v/>
      </c>
      <c r="AE105" s="3" t="str">
        <f aca="false">IF(ISBLANK(O105),"",ABS(O105-SUMIFS($O$2:$O$205,$A$2:$A$205,$A105,$B$2:$B$205,$B105,$C$2:$C$205,100)))</f>
        <v/>
      </c>
      <c r="AF105" s="3" t="str">
        <f aca="false">IF(ISBLANK(P105),"",ABS(P105-SUMIFS($P$2:$P$205,$A$2:$A$205,$A105,$B$2:$B$205,$B105,$C$2:$C$205,100)))</f>
        <v/>
      </c>
      <c r="AG105" s="3" t="str">
        <f aca="false">IF(ISBLANK(Q105),"",ABS(Q105-SUMIFS($Q$2:$Q$205,$A$2:$A$205,$A105,$B$2:$B$205,$B105,$C$2:$C$205,100)))</f>
        <v/>
      </c>
      <c r="AH105" s="3" t="str">
        <f aca="false">IF(ISBLANK(R105),"",ABS(R105-SUMIFS($R$2:$R$205,$A$2:$A$205,$A105,$B$2:$B$205,$B105,$C$2:$C$205,100)))</f>
        <v/>
      </c>
      <c r="AI105" s="3" t="str">
        <f aca="false">IF(ISBLANK(S105),"",ABS(S105-SUMIFS($S$2:$S$205,$A$2:$A$205,$A105,$B$2:$B$205,$B105,$C$2:$C$205,100)))</f>
        <v/>
      </c>
      <c r="AJ105" s="3" t="n">
        <f aca="false">MAX(V105:AI105)</f>
        <v>2.18272418806009E-007</v>
      </c>
    </row>
    <row r="106" customFormat="false" ht="15" hidden="false" customHeight="false" outlineLevel="0" collapsed="false">
      <c r="A106" s="2" t="s">
        <v>43</v>
      </c>
      <c r="B106" s="2" t="s">
        <v>39</v>
      </c>
      <c r="C106" s="2" t="n">
        <v>80</v>
      </c>
      <c r="D106" s="3" t="n">
        <v>-1779.97702076137</v>
      </c>
      <c r="E106" s="3" t="n">
        <v>-2.15892519780138</v>
      </c>
      <c r="F106" s="3" t="n">
        <v>-345.837703590748</v>
      </c>
      <c r="G106" s="3" t="n">
        <v>-41.8030961799681</v>
      </c>
      <c r="H106" s="3" t="n">
        <v>-36.8306188630452</v>
      </c>
      <c r="I106" s="3" t="n">
        <v>-4.77488655244595</v>
      </c>
      <c r="J106" s="3" t="n">
        <v>-3.19541429270878</v>
      </c>
      <c r="K106" s="3" t="n">
        <v>-0.54567410895942</v>
      </c>
      <c r="L106" s="3" t="n">
        <v>-0.351952716560182</v>
      </c>
      <c r="M106" s="3"/>
      <c r="N106" s="3"/>
      <c r="O106" s="3"/>
      <c r="P106" s="3"/>
      <c r="Q106" s="3"/>
      <c r="R106" s="3"/>
      <c r="S106" s="3"/>
      <c r="T106" s="3" t="n">
        <f aca="false">ABS(D106-SUMIFS($D$2:$D$205,$A$2:$A$205,$A106,$B$2:$B$205,$B106,$C$2:$C$205,100))</f>
        <v>7.04858393874019E-012</v>
      </c>
      <c r="U106" s="3" t="n">
        <f aca="false">ABS(E106-SUMIFS($E$2:$E$205,$A$2:$A$205,$A106,$B$2:$B$205,$B106,$C$2:$C$205,100))</f>
        <v>3.82982534574694E-012</v>
      </c>
      <c r="V106" s="3" t="n">
        <f aca="false">IF(ISBLANK(F106),"",ABS(F106-SUMIFS($F$2:$F$205,$A$2:$A$205,$A106,$B$2:$B$205,$B106,$C$2:$C$205,100)))</f>
        <v>1.2801137927454E-010</v>
      </c>
      <c r="W106" s="3" t="n">
        <f aca="false">IF(ISBLANK(G106),"",ABS(G106-SUMIFS($G$2:$G$205,$A$2:$A$205,$A106,$B$2:$B$205,$B106,$C$2:$C$205,100)))</f>
        <v>1.64419589054887E-010</v>
      </c>
      <c r="X106" s="3" t="n">
        <f aca="false">IF(ISBLANK(H106),"",ABS(H106-SUMIFS($H$2:$H$205,$A$2:$A$205,$A106,$B$2:$B$205,$B106,$C$2:$C$205,100)))</f>
        <v>9.52979917201446E-011</v>
      </c>
      <c r="Y106" s="3" t="n">
        <f aca="false">IF(ISBLANK(I106),"",ABS(I106-SUMIFS($I$2:$I$205,$A$2:$A$205,$A106,$B$2:$B$205,$B106,$C$2:$C$205,100)))</f>
        <v>1.27954535855679E-010</v>
      </c>
      <c r="Z106" s="3" t="n">
        <f aca="false">IF(ISBLANK(J106),"",ABS(J106-SUMIFS($J$2:$J$205,$A$2:$A$205,$A106,$B$2:$B$205,$B106,$C$2:$C$205,100)))</f>
        <v>9.52948830956757E-011</v>
      </c>
      <c r="AA106" s="3" t="n">
        <f aca="false">IF(ISBLANK(K106),"",ABS(K106-SUMIFS($K$2:$K$205,$A$2:$A$205,$A106,$B$2:$B$205,$B106,$C$2:$C$205,100)))</f>
        <v>5.82076609134674E-011</v>
      </c>
      <c r="AB106" s="3" t="n">
        <f aca="false">IF(ISBLANK(L106),"",ABS(L106-SUMIFS($L$2:$L$205,$A$2:$A$205,$A106,$B$2:$B$205,$B106,$C$2:$C$205,100)))</f>
        <v>1.64415758785452E-010</v>
      </c>
      <c r="AC106" s="3" t="str">
        <f aca="false">IF(ISBLANK(M106),"",ABS(M106-SUMIFS($M$2:$M$205,$A$2:$A$205,$A106,$B$2:$B$205,$B106,$C$2:$C$205,100)))</f>
        <v/>
      </c>
      <c r="AD106" s="3" t="str">
        <f aca="false">IF(ISBLANK(N106),"",ABS(N106-SUMIFS($N$2:$N$205,$A$2:$A$205,$A106,$B$2:$B$205,$B106,$C$2:$C$205,100)))</f>
        <v/>
      </c>
      <c r="AE106" s="3" t="str">
        <f aca="false">IF(ISBLANK(O106),"",ABS(O106-SUMIFS($O$2:$O$205,$A$2:$A$205,$A106,$B$2:$B$205,$B106,$C$2:$C$205,100)))</f>
        <v/>
      </c>
      <c r="AF106" s="3" t="str">
        <f aca="false">IF(ISBLANK(P106),"",ABS(P106-SUMIFS($P$2:$P$205,$A$2:$A$205,$A106,$B$2:$B$205,$B106,$C$2:$C$205,100)))</f>
        <v/>
      </c>
      <c r="AG106" s="3" t="str">
        <f aca="false">IF(ISBLANK(Q106),"",ABS(Q106-SUMIFS($Q$2:$Q$205,$A$2:$A$205,$A106,$B$2:$B$205,$B106,$C$2:$C$205,100)))</f>
        <v/>
      </c>
      <c r="AH106" s="3" t="str">
        <f aca="false">IF(ISBLANK(R106),"",ABS(R106-SUMIFS($R$2:$R$205,$A$2:$A$205,$A106,$B$2:$B$205,$B106,$C$2:$C$205,100)))</f>
        <v/>
      </c>
      <c r="AI106" s="3" t="str">
        <f aca="false">IF(ISBLANK(S106),"",ABS(S106-SUMIFS($S$2:$S$205,$A$2:$A$205,$A106,$B$2:$B$205,$B106,$C$2:$C$205,100)))</f>
        <v/>
      </c>
      <c r="AJ106" s="3" t="n">
        <f aca="false">MAX(V106:AI106)</f>
        <v>1.64419589054887E-010</v>
      </c>
    </row>
    <row r="107" customFormat="false" ht="15" hidden="false" customHeight="false" outlineLevel="0" collapsed="false">
      <c r="A107" s="4" t="s">
        <v>43</v>
      </c>
      <c r="B107" s="4" t="s">
        <v>39</v>
      </c>
      <c r="C107" s="4" t="n">
        <v>100</v>
      </c>
      <c r="D107" s="5" t="n">
        <v>-1779.97702076138</v>
      </c>
      <c r="E107" s="5" t="n">
        <v>-2.15892519780521</v>
      </c>
      <c r="F107" s="3" t="n">
        <v>-345.837703590876</v>
      </c>
      <c r="G107" s="3" t="n">
        <v>-41.8030961798037</v>
      </c>
      <c r="H107" s="3" t="n">
        <v>-36.8306188631405</v>
      </c>
      <c r="I107" s="3" t="n">
        <v>-4.7748865525739</v>
      </c>
      <c r="J107" s="3" t="n">
        <v>-3.19541429280407</v>
      </c>
      <c r="K107" s="3" t="n">
        <v>-0.545674109017628</v>
      </c>
      <c r="L107" s="3" t="n">
        <v>-0.351952716395766</v>
      </c>
      <c r="M107" s="3"/>
      <c r="N107" s="3"/>
      <c r="O107" s="3"/>
      <c r="P107" s="3"/>
      <c r="Q107" s="3"/>
      <c r="R107" s="3"/>
      <c r="S107" s="3"/>
      <c r="T107" s="3" t="n">
        <f aca="false">ABS(D107-SUMIFS($D$2:$D$205,$A$2:$A$205,$A107,$B$2:$B$205,$B107,$C$2:$C$205,100))</f>
        <v>0</v>
      </c>
      <c r="U107" s="3" t="n">
        <f aca="false">ABS(E107-SUMIFS($E$2:$E$205,$A$2:$A$205,$A107,$B$2:$B$205,$B107,$C$2:$C$205,100))</f>
        <v>0</v>
      </c>
      <c r="V107" s="3" t="n">
        <f aca="false">IF(ISBLANK(F107),"",ABS(F107-SUMIFS($F$2:$F$205,$A$2:$A$205,$A107,$B$2:$B$205,$B107,$C$2:$C$205,100)))</f>
        <v>0</v>
      </c>
      <c r="W107" s="3" t="n">
        <f aca="false">IF(ISBLANK(G107),"",ABS(G107-SUMIFS($G$2:$G$205,$A$2:$A$205,$A107,$B$2:$B$205,$B107,$C$2:$C$205,100)))</f>
        <v>0</v>
      </c>
      <c r="X107" s="3" t="n">
        <f aca="false">IF(ISBLANK(H107),"",ABS(H107-SUMIFS($H$2:$H$205,$A$2:$A$205,$A107,$B$2:$B$205,$B107,$C$2:$C$205,100)))</f>
        <v>0</v>
      </c>
      <c r="Y107" s="3" t="n">
        <f aca="false">IF(ISBLANK(I107),"",ABS(I107-SUMIFS($I$2:$I$205,$A$2:$A$205,$A107,$B$2:$B$205,$B107,$C$2:$C$205,100)))</f>
        <v>0</v>
      </c>
      <c r="Z107" s="3" t="n">
        <f aca="false">IF(ISBLANK(J107),"",ABS(J107-SUMIFS($J$2:$J$205,$A$2:$A$205,$A107,$B$2:$B$205,$B107,$C$2:$C$205,100)))</f>
        <v>0</v>
      </c>
      <c r="AA107" s="3" t="n">
        <f aca="false">IF(ISBLANK(K107),"",ABS(K107-SUMIFS($K$2:$K$205,$A$2:$A$205,$A107,$B$2:$B$205,$B107,$C$2:$C$205,100)))</f>
        <v>0</v>
      </c>
      <c r="AB107" s="3" t="n">
        <f aca="false">IF(ISBLANK(L107),"",ABS(L107-SUMIFS($L$2:$L$205,$A$2:$A$205,$A107,$B$2:$B$205,$B107,$C$2:$C$205,100)))</f>
        <v>0</v>
      </c>
      <c r="AC107" s="3" t="str">
        <f aca="false">IF(ISBLANK(M107),"",ABS(M107-SUMIFS($M$2:$M$205,$A$2:$A$205,$A107,$B$2:$B$205,$B107,$C$2:$C$205,100)))</f>
        <v/>
      </c>
      <c r="AD107" s="3" t="str">
        <f aca="false">IF(ISBLANK(N107),"",ABS(N107-SUMIFS($N$2:$N$205,$A$2:$A$205,$A107,$B$2:$B$205,$B107,$C$2:$C$205,100)))</f>
        <v/>
      </c>
      <c r="AE107" s="3" t="str">
        <f aca="false">IF(ISBLANK(O107),"",ABS(O107-SUMIFS($O$2:$O$205,$A$2:$A$205,$A107,$B$2:$B$205,$B107,$C$2:$C$205,100)))</f>
        <v/>
      </c>
      <c r="AF107" s="3" t="str">
        <f aca="false">IF(ISBLANK(P107),"",ABS(P107-SUMIFS($P$2:$P$205,$A$2:$A$205,$A107,$B$2:$B$205,$B107,$C$2:$C$205,100)))</f>
        <v/>
      </c>
      <c r="AG107" s="3" t="str">
        <f aca="false">IF(ISBLANK(Q107),"",ABS(Q107-SUMIFS($Q$2:$Q$205,$A$2:$A$205,$A107,$B$2:$B$205,$B107,$C$2:$C$205,100)))</f>
        <v/>
      </c>
      <c r="AH107" s="3" t="str">
        <f aca="false">IF(ISBLANK(R107),"",ABS(R107-SUMIFS($R$2:$R$205,$A$2:$A$205,$A107,$B$2:$B$205,$B107,$C$2:$C$205,100)))</f>
        <v/>
      </c>
      <c r="AI107" s="3" t="str">
        <f aca="false">IF(ISBLANK(S107),"",ABS(S107-SUMIFS($S$2:$S$205,$A$2:$A$205,$A107,$B$2:$B$205,$B107,$C$2:$C$205,100)))</f>
        <v/>
      </c>
      <c r="AJ107" s="3" t="n">
        <f aca="false">MAX(V107:AI107)</f>
        <v>0</v>
      </c>
    </row>
    <row r="108" customFormat="false" ht="15" hidden="false" customHeight="false" outlineLevel="0" collapsed="false">
      <c r="A108" s="2" t="s">
        <v>43</v>
      </c>
      <c r="B108" s="2" t="s">
        <v>40</v>
      </c>
      <c r="C108" s="2" t="n">
        <v>5</v>
      </c>
      <c r="D108" s="3" t="n">
        <v>-1780.02707656869</v>
      </c>
      <c r="E108" s="3" t="n">
        <v>-2.20706254796443</v>
      </c>
      <c r="F108" s="3" t="n">
        <v>-345.779335857265</v>
      </c>
      <c r="G108" s="3" t="n">
        <v>-41.7206752727767</v>
      </c>
      <c r="H108" s="3" t="n">
        <v>-36.7287946701839</v>
      </c>
      <c r="I108" s="3" t="n">
        <v>-4.80061887492011</v>
      </c>
      <c r="J108" s="3" t="n">
        <v>-3.21714520044217</v>
      </c>
      <c r="K108" s="3" t="n">
        <v>-0.556433452254208</v>
      </c>
      <c r="L108" s="3" t="n">
        <v>-0.357442927859795</v>
      </c>
      <c r="M108" s="3"/>
      <c r="N108" s="3"/>
      <c r="O108" s="3"/>
      <c r="P108" s="3"/>
      <c r="Q108" s="3"/>
      <c r="R108" s="3"/>
      <c r="S108" s="3"/>
      <c r="T108" s="3" t="n">
        <f aca="false">ABS(D108-SUMIFS($D$2:$D$205,$A$2:$A$205,$A108,$B$2:$B$205,$B108,$C$2:$C$205,100))</f>
        <v>0.050055807309036</v>
      </c>
      <c r="U108" s="3" t="n">
        <f aca="false">ABS(E108-SUMIFS($E$2:$E$205,$A$2:$A$205,$A108,$B$2:$B$205,$B108,$C$2:$C$205,100))</f>
        <v>0.0481373501600872</v>
      </c>
      <c r="V108" s="3" t="n">
        <f aca="false">IF(ISBLANK(F108),"",ABS(F108-SUMIFS($F$2:$F$205,$A$2:$A$205,$A108,$B$2:$B$205,$B108,$C$2:$C$205,100)))</f>
        <v>0.058367733400928</v>
      </c>
      <c r="W108" s="3" t="n">
        <f aca="false">IF(ISBLANK(G108),"",ABS(G108-SUMIFS($G$2:$G$205,$A$2:$A$205,$A108,$B$2:$B$205,$B108,$C$2:$C$205,100)))</f>
        <v>0.0824209071098139</v>
      </c>
      <c r="X108" s="3" t="n">
        <f aca="false">IF(ISBLANK(H108),"",ABS(H108-SUMIFS($H$2:$H$205,$A$2:$A$205,$A108,$B$2:$B$205,$B108,$C$2:$C$205,100)))</f>
        <v>0.101824193072972</v>
      </c>
      <c r="Y108" s="3" t="n">
        <f aca="false">IF(ISBLANK(I108),"",ABS(I108-SUMIFS($I$2:$I$205,$A$2:$A$205,$A108,$B$2:$B$205,$B108,$C$2:$C$205,100)))</f>
        <v>0.0257323225557995</v>
      </c>
      <c r="Z108" s="3" t="n">
        <f aca="false">IF(ISBLANK(J108),"",ABS(J108-SUMIFS($J$2:$J$205,$A$2:$A$205,$A108,$B$2:$B$205,$B108,$C$2:$C$205,100)))</f>
        <v>0.0217309081086809</v>
      </c>
      <c r="AA108" s="3" t="n">
        <f aca="false">IF(ISBLANK(K108),"",ABS(K108-SUMIFS($K$2:$K$205,$A$2:$A$205,$A108,$B$2:$B$205,$B108,$C$2:$C$205,100)))</f>
        <v>0.0107593432947874</v>
      </c>
      <c r="AB108" s="3" t="n">
        <f aca="false">IF(ISBLANK(L108),"",ABS(L108-SUMIFS($L$2:$L$205,$A$2:$A$205,$A108,$B$2:$B$205,$B108,$C$2:$C$205,100)))</f>
        <v>0.00549021138124761</v>
      </c>
      <c r="AC108" s="3" t="str">
        <f aca="false">IF(ISBLANK(M108),"",ABS(M108-SUMIFS($M$2:$M$205,$A$2:$A$205,$A108,$B$2:$B$205,$B108,$C$2:$C$205,100)))</f>
        <v/>
      </c>
      <c r="AD108" s="3" t="str">
        <f aca="false">IF(ISBLANK(N108),"",ABS(N108-SUMIFS($N$2:$N$205,$A$2:$A$205,$A108,$B$2:$B$205,$B108,$C$2:$C$205,100)))</f>
        <v/>
      </c>
      <c r="AE108" s="3" t="str">
        <f aca="false">IF(ISBLANK(O108),"",ABS(O108-SUMIFS($O$2:$O$205,$A$2:$A$205,$A108,$B$2:$B$205,$B108,$C$2:$C$205,100)))</f>
        <v/>
      </c>
      <c r="AF108" s="3" t="str">
        <f aca="false">IF(ISBLANK(P108),"",ABS(P108-SUMIFS($P$2:$P$205,$A$2:$A$205,$A108,$B$2:$B$205,$B108,$C$2:$C$205,100)))</f>
        <v/>
      </c>
      <c r="AG108" s="3" t="str">
        <f aca="false">IF(ISBLANK(Q108),"",ABS(Q108-SUMIFS($Q$2:$Q$205,$A$2:$A$205,$A108,$B$2:$B$205,$B108,$C$2:$C$205,100)))</f>
        <v/>
      </c>
      <c r="AH108" s="3" t="str">
        <f aca="false">IF(ISBLANK(R108),"",ABS(R108-SUMIFS($R$2:$R$205,$A$2:$A$205,$A108,$B$2:$B$205,$B108,$C$2:$C$205,100)))</f>
        <v/>
      </c>
      <c r="AI108" s="3" t="str">
        <f aca="false">IF(ISBLANK(S108),"",ABS(S108-SUMIFS($S$2:$S$205,$A$2:$A$205,$A108,$B$2:$B$205,$B108,$C$2:$C$205,100)))</f>
        <v/>
      </c>
      <c r="AJ108" s="3" t="n">
        <f aca="false">MAX(V108:AI108)</f>
        <v>0.101824193072972</v>
      </c>
    </row>
    <row r="109" customFormat="false" ht="15" hidden="false" customHeight="false" outlineLevel="0" collapsed="false">
      <c r="A109" s="2" t="s">
        <v>43</v>
      </c>
      <c r="B109" s="2" t="s">
        <v>40</v>
      </c>
      <c r="C109" s="2" t="n">
        <v>10</v>
      </c>
      <c r="D109" s="3" t="n">
        <v>-1779.99176566041</v>
      </c>
      <c r="E109" s="3" t="n">
        <v>-2.1740179853329</v>
      </c>
      <c r="F109" s="3" t="n">
        <v>-345.841464581146</v>
      </c>
      <c r="G109" s="3" t="n">
        <v>-41.7959761787425</v>
      </c>
      <c r="H109" s="3" t="n">
        <v>-36.8184755743001</v>
      </c>
      <c r="I109" s="3" t="n">
        <v>-4.76607026624369</v>
      </c>
      <c r="J109" s="3" t="n">
        <v>-3.18768266183053</v>
      </c>
      <c r="K109" s="3" t="n">
        <v>-0.541644471174157</v>
      </c>
      <c r="L109" s="3" t="n">
        <v>-0.344711298436263</v>
      </c>
      <c r="M109" s="3"/>
      <c r="N109" s="3"/>
      <c r="O109" s="3"/>
      <c r="P109" s="3"/>
      <c r="Q109" s="3"/>
      <c r="R109" s="3"/>
      <c r="S109" s="3"/>
      <c r="T109" s="3" t="n">
        <f aca="false">ABS(D109-SUMIFS($D$2:$D$205,$A$2:$A$205,$A109,$B$2:$B$205,$B109,$C$2:$C$205,100))</f>
        <v>0.0147448990339853</v>
      </c>
      <c r="U109" s="3" t="n">
        <f aca="false">ABS(E109-SUMIFS($E$2:$E$205,$A$2:$A$205,$A109,$B$2:$B$205,$B109,$C$2:$C$205,100))</f>
        <v>0.01509278752855</v>
      </c>
      <c r="V109" s="3" t="n">
        <f aca="false">IF(ISBLANK(F109),"",ABS(F109-SUMIFS($F$2:$F$205,$A$2:$A$205,$A109,$B$2:$B$205,$B109,$C$2:$C$205,100)))</f>
        <v>0.00376099047974776</v>
      </c>
      <c r="W109" s="3" t="n">
        <f aca="false">IF(ISBLANK(G109),"",ABS(G109-SUMIFS($G$2:$G$205,$A$2:$A$205,$A109,$B$2:$B$205,$B109,$C$2:$C$205,100)))</f>
        <v>0.00712000114396005</v>
      </c>
      <c r="X109" s="3" t="n">
        <f aca="false">IF(ISBLANK(H109),"",ABS(H109-SUMIFS($H$2:$H$205,$A$2:$A$205,$A109,$B$2:$B$205,$B109,$C$2:$C$205,100)))</f>
        <v>0.0121432889567643</v>
      </c>
      <c r="Y109" s="3" t="n">
        <f aca="false">IF(ISBLANK(I109),"",ABS(I109-SUMIFS($I$2:$I$205,$A$2:$A$205,$A109,$B$2:$B$205,$B109,$C$2:$C$205,100)))</f>
        <v>0.00881628612062713</v>
      </c>
      <c r="Z109" s="3" t="n">
        <f aca="false">IF(ISBLANK(J109),"",ABS(J109-SUMIFS($J$2:$J$205,$A$2:$A$205,$A109,$B$2:$B$205,$B109,$C$2:$C$205,100)))</f>
        <v>0.00773163050296688</v>
      </c>
      <c r="AA109" s="3" t="n">
        <f aca="false">IF(ISBLANK(K109),"",ABS(K109-SUMIFS($K$2:$K$205,$A$2:$A$205,$A109,$B$2:$B$205,$B109,$C$2:$C$205,100)))</f>
        <v>0.00402963778526355</v>
      </c>
      <c r="AB109" s="3" t="n">
        <f aca="false">IF(ISBLANK(L109),"",ABS(L109-SUMIFS($L$2:$L$205,$A$2:$A$205,$A109,$B$2:$B$205,$B109,$C$2:$C$205,100)))</f>
        <v>0.00724141804228418</v>
      </c>
      <c r="AC109" s="3" t="str">
        <f aca="false">IF(ISBLANK(M109),"",ABS(M109-SUMIFS($M$2:$M$205,$A$2:$A$205,$A109,$B$2:$B$205,$B109,$C$2:$C$205,100)))</f>
        <v/>
      </c>
      <c r="AD109" s="3" t="str">
        <f aca="false">IF(ISBLANK(N109),"",ABS(N109-SUMIFS($N$2:$N$205,$A$2:$A$205,$A109,$B$2:$B$205,$B109,$C$2:$C$205,100)))</f>
        <v/>
      </c>
      <c r="AE109" s="3" t="str">
        <f aca="false">IF(ISBLANK(O109),"",ABS(O109-SUMIFS($O$2:$O$205,$A$2:$A$205,$A109,$B$2:$B$205,$B109,$C$2:$C$205,100)))</f>
        <v/>
      </c>
      <c r="AF109" s="3" t="str">
        <f aca="false">IF(ISBLANK(P109),"",ABS(P109-SUMIFS($P$2:$P$205,$A$2:$A$205,$A109,$B$2:$B$205,$B109,$C$2:$C$205,100)))</f>
        <v/>
      </c>
      <c r="AG109" s="3" t="str">
        <f aca="false">IF(ISBLANK(Q109),"",ABS(Q109-SUMIFS($Q$2:$Q$205,$A$2:$A$205,$A109,$B$2:$B$205,$B109,$C$2:$C$205,100)))</f>
        <v/>
      </c>
      <c r="AH109" s="3" t="str">
        <f aca="false">IF(ISBLANK(R109),"",ABS(R109-SUMIFS($R$2:$R$205,$A$2:$A$205,$A109,$B$2:$B$205,$B109,$C$2:$C$205,100)))</f>
        <v/>
      </c>
      <c r="AI109" s="3" t="str">
        <f aca="false">IF(ISBLANK(S109),"",ABS(S109-SUMIFS($S$2:$S$205,$A$2:$A$205,$A109,$B$2:$B$205,$B109,$C$2:$C$205,100)))</f>
        <v/>
      </c>
      <c r="AJ109" s="3" t="n">
        <f aca="false">MAX(V109:AI109)</f>
        <v>0.0121432889567643</v>
      </c>
    </row>
    <row r="110" customFormat="false" ht="15" hidden="false" customHeight="false" outlineLevel="0" collapsed="false">
      <c r="A110" s="2" t="s">
        <v>43</v>
      </c>
      <c r="B110" s="2" t="s">
        <v>40</v>
      </c>
      <c r="C110" s="2" t="n">
        <v>15</v>
      </c>
      <c r="D110" s="3" t="n">
        <v>-1779.98830679227</v>
      </c>
      <c r="E110" s="3" t="n">
        <v>-2.17006899146831</v>
      </c>
      <c r="F110" s="3" t="n">
        <v>-345.841100772831</v>
      </c>
      <c r="G110" s="3" t="n">
        <v>-41.8080304941767</v>
      </c>
      <c r="H110" s="3" t="n">
        <v>-36.8357366330711</v>
      </c>
      <c r="I110" s="3" t="n">
        <v>-4.77875810370981</v>
      </c>
      <c r="J110" s="3" t="n">
        <v>-3.19916445762704</v>
      </c>
      <c r="K110" s="3" t="n">
        <v>-0.549208826962786</v>
      </c>
      <c r="L110" s="3" t="n">
        <v>-0.355342471866067</v>
      </c>
      <c r="M110" s="3"/>
      <c r="N110" s="3"/>
      <c r="O110" s="3"/>
      <c r="P110" s="3"/>
      <c r="Q110" s="3"/>
      <c r="R110" s="3"/>
      <c r="S110" s="3"/>
      <c r="T110" s="3" t="n">
        <f aca="false">ABS(D110-SUMIFS($D$2:$D$205,$A$2:$A$205,$A110,$B$2:$B$205,$B110,$C$2:$C$205,100))</f>
        <v>0.0112860308890959</v>
      </c>
      <c r="U110" s="3" t="n">
        <f aca="false">ABS(E110-SUMIFS($E$2:$E$205,$A$2:$A$205,$A110,$B$2:$B$205,$B110,$C$2:$C$205,100))</f>
        <v>0.011143793663968</v>
      </c>
      <c r="V110" s="3" t="n">
        <f aca="false">IF(ISBLANK(F110),"",ABS(F110-SUMIFS($F$2:$F$205,$A$2:$A$205,$A110,$B$2:$B$205,$B110,$C$2:$C$205,100)))</f>
        <v>0.00339718216480378</v>
      </c>
      <c r="W110" s="3" t="n">
        <f aca="false">IF(ISBLANK(G110),"",ABS(G110-SUMIFS($G$2:$G$205,$A$2:$A$205,$A110,$B$2:$B$205,$B110,$C$2:$C$205,100)))</f>
        <v>0.00493431429024582</v>
      </c>
      <c r="X110" s="3" t="n">
        <f aca="false">IF(ISBLANK(H110),"",ABS(H110-SUMIFS($H$2:$H$205,$A$2:$A$205,$A110,$B$2:$B$205,$B110,$C$2:$C$205,100)))</f>
        <v>0.00511776981424816</v>
      </c>
      <c r="Y110" s="3" t="n">
        <f aca="false">IF(ISBLANK(I110),"",ABS(I110-SUMIFS($I$2:$I$205,$A$2:$A$205,$A110,$B$2:$B$205,$B110,$C$2:$C$205,100)))</f>
        <v>0.00387155134550099</v>
      </c>
      <c r="Z110" s="3" t="n">
        <f aca="false">IF(ISBLANK(J110),"",ABS(J110-SUMIFS($J$2:$J$205,$A$2:$A$205,$A110,$B$2:$B$205,$B110,$C$2:$C$205,100)))</f>
        <v>0.00375016529354699</v>
      </c>
      <c r="AA110" s="3" t="n">
        <f aca="false">IF(ISBLANK(K110),"",ABS(K110-SUMIFS($K$2:$K$205,$A$2:$A$205,$A110,$B$2:$B$205,$B110,$C$2:$C$205,100)))</f>
        <v>0.00353471800336513</v>
      </c>
      <c r="AB110" s="3" t="n">
        <f aca="false">IF(ISBLANK(L110),"",ABS(L110-SUMIFS($L$2:$L$205,$A$2:$A$205,$A110,$B$2:$B$205,$B110,$C$2:$C$205,100)))</f>
        <v>0.00338975538752012</v>
      </c>
      <c r="AC110" s="3" t="str">
        <f aca="false">IF(ISBLANK(M110),"",ABS(M110-SUMIFS($M$2:$M$205,$A$2:$A$205,$A110,$B$2:$B$205,$B110,$C$2:$C$205,100)))</f>
        <v/>
      </c>
      <c r="AD110" s="3" t="str">
        <f aca="false">IF(ISBLANK(N110),"",ABS(N110-SUMIFS($N$2:$N$205,$A$2:$A$205,$A110,$B$2:$B$205,$B110,$C$2:$C$205,100)))</f>
        <v/>
      </c>
      <c r="AE110" s="3" t="str">
        <f aca="false">IF(ISBLANK(O110),"",ABS(O110-SUMIFS($O$2:$O$205,$A$2:$A$205,$A110,$B$2:$B$205,$B110,$C$2:$C$205,100)))</f>
        <v/>
      </c>
      <c r="AF110" s="3" t="str">
        <f aca="false">IF(ISBLANK(P110),"",ABS(P110-SUMIFS($P$2:$P$205,$A$2:$A$205,$A110,$B$2:$B$205,$B110,$C$2:$C$205,100)))</f>
        <v/>
      </c>
      <c r="AG110" s="3" t="str">
        <f aca="false">IF(ISBLANK(Q110),"",ABS(Q110-SUMIFS($Q$2:$Q$205,$A$2:$A$205,$A110,$B$2:$B$205,$B110,$C$2:$C$205,100)))</f>
        <v/>
      </c>
      <c r="AH110" s="3" t="str">
        <f aca="false">IF(ISBLANK(R110),"",ABS(R110-SUMIFS($R$2:$R$205,$A$2:$A$205,$A110,$B$2:$B$205,$B110,$C$2:$C$205,100)))</f>
        <v/>
      </c>
      <c r="AI110" s="3" t="str">
        <f aca="false">IF(ISBLANK(S110),"",ABS(S110-SUMIFS($S$2:$S$205,$A$2:$A$205,$A110,$B$2:$B$205,$B110,$C$2:$C$205,100)))</f>
        <v/>
      </c>
      <c r="AJ110" s="3" t="n">
        <f aca="false">MAX(V110:AI110)</f>
        <v>0.00511776981424816</v>
      </c>
    </row>
    <row r="111" customFormat="false" ht="15" hidden="false" customHeight="false" outlineLevel="0" collapsed="false">
      <c r="A111" s="2" t="s">
        <v>43</v>
      </c>
      <c r="B111" s="2" t="s">
        <v>40</v>
      </c>
      <c r="C111" s="2" t="n">
        <v>20</v>
      </c>
      <c r="D111" s="3" t="n">
        <v>-1779.97790432958</v>
      </c>
      <c r="E111" s="3" t="n">
        <v>-2.15981941916792</v>
      </c>
      <c r="F111" s="3" t="n">
        <v>-345.837380471389</v>
      </c>
      <c r="G111" s="3" t="n">
        <v>-41.8042288521452</v>
      </c>
      <c r="H111" s="3" t="n">
        <v>-36.8319800340739</v>
      </c>
      <c r="I111" s="3" t="n">
        <v>-4.77490356135495</v>
      </c>
      <c r="J111" s="3" t="n">
        <v>-3.19541867133712</v>
      </c>
      <c r="K111" s="3" t="n">
        <v>-0.545657448303858</v>
      </c>
      <c r="L111" s="3" t="n">
        <v>-0.351941531711284</v>
      </c>
      <c r="M111" s="3"/>
      <c r="N111" s="3"/>
      <c r="O111" s="3"/>
      <c r="P111" s="3"/>
      <c r="Q111" s="3"/>
      <c r="R111" s="3"/>
      <c r="S111" s="3"/>
      <c r="T111" s="3" t="n">
        <f aca="false">ABS(D111-SUMIFS($D$2:$D$205,$A$2:$A$205,$A111,$B$2:$B$205,$B111,$C$2:$C$205,100))</f>
        <v>0.000883568201970775</v>
      </c>
      <c r="U111" s="3" t="n">
        <f aca="false">ABS(E111-SUMIFS($E$2:$E$205,$A$2:$A$205,$A111,$B$2:$B$205,$B111,$C$2:$C$205,100))</f>
        <v>0.00089422136357431</v>
      </c>
      <c r="V111" s="3" t="n">
        <f aca="false">IF(ISBLANK(F111),"",ABS(F111-SUMIFS($F$2:$F$205,$A$2:$A$205,$A111,$B$2:$B$205,$B111,$C$2:$C$205,100)))</f>
        <v>0.000323119277027217</v>
      </c>
      <c r="W111" s="3" t="n">
        <f aca="false">IF(ISBLANK(G111),"",ABS(G111-SUMIFS($G$2:$G$205,$A$2:$A$205,$A111,$B$2:$B$205,$B111,$C$2:$C$205,100)))</f>
        <v>0.00113267225874836</v>
      </c>
      <c r="X111" s="3" t="n">
        <f aca="false">IF(ISBLANK(H111),"",ABS(H111-SUMIFS($H$2:$H$205,$A$2:$A$205,$A111,$B$2:$B$205,$B111,$C$2:$C$205,100)))</f>
        <v>0.00136117081700604</v>
      </c>
      <c r="Y111" s="3" t="n">
        <f aca="false">IF(ISBLANK(I111),"",ABS(I111-SUMIFS($I$2:$I$205,$A$2:$A$205,$A111,$B$2:$B$205,$B111,$C$2:$C$205,100)))</f>
        <v>1.70089906390558E-005</v>
      </c>
      <c r="Z111" s="3" t="n">
        <f aca="false">IF(ISBLANK(J111),"",ABS(J111-SUMIFS($J$2:$J$205,$A$2:$A$205,$A111,$B$2:$B$205,$B111,$C$2:$C$205,100)))</f>
        <v>4.37900362815213E-006</v>
      </c>
      <c r="AA111" s="3" t="n">
        <f aca="false">IF(ISBLANK(K111),"",ABS(K111-SUMIFS($K$2:$K$205,$A$2:$A$205,$A111,$B$2:$B$205,$B111,$C$2:$C$205,100)))</f>
        <v>1.66606555624949E-005</v>
      </c>
      <c r="AB111" s="3" t="n">
        <f aca="false">IF(ISBLANK(L111),"",ABS(L111-SUMIFS($L$2:$L$205,$A$2:$A$205,$A111,$B$2:$B$205,$B111,$C$2:$C$205,100)))</f>
        <v>1.11847672635279E-005</v>
      </c>
      <c r="AC111" s="3" t="str">
        <f aca="false">IF(ISBLANK(M111),"",ABS(M111-SUMIFS($M$2:$M$205,$A$2:$A$205,$A111,$B$2:$B$205,$B111,$C$2:$C$205,100)))</f>
        <v/>
      </c>
      <c r="AD111" s="3" t="str">
        <f aca="false">IF(ISBLANK(N111),"",ABS(N111-SUMIFS($N$2:$N$205,$A$2:$A$205,$A111,$B$2:$B$205,$B111,$C$2:$C$205,100)))</f>
        <v/>
      </c>
      <c r="AE111" s="3" t="str">
        <f aca="false">IF(ISBLANK(O111),"",ABS(O111-SUMIFS($O$2:$O$205,$A$2:$A$205,$A111,$B$2:$B$205,$B111,$C$2:$C$205,100)))</f>
        <v/>
      </c>
      <c r="AF111" s="3" t="str">
        <f aca="false">IF(ISBLANK(P111),"",ABS(P111-SUMIFS($P$2:$P$205,$A$2:$A$205,$A111,$B$2:$B$205,$B111,$C$2:$C$205,100)))</f>
        <v/>
      </c>
      <c r="AG111" s="3" t="str">
        <f aca="false">IF(ISBLANK(Q111),"",ABS(Q111-SUMIFS($Q$2:$Q$205,$A$2:$A$205,$A111,$B$2:$B$205,$B111,$C$2:$C$205,100)))</f>
        <v/>
      </c>
      <c r="AH111" s="3" t="str">
        <f aca="false">IF(ISBLANK(R111),"",ABS(R111-SUMIFS($R$2:$R$205,$A$2:$A$205,$A111,$B$2:$B$205,$B111,$C$2:$C$205,100)))</f>
        <v/>
      </c>
      <c r="AI111" s="3" t="str">
        <f aca="false">IF(ISBLANK(S111),"",ABS(S111-SUMIFS($S$2:$S$205,$A$2:$A$205,$A111,$B$2:$B$205,$B111,$C$2:$C$205,100)))</f>
        <v/>
      </c>
      <c r="AJ111" s="3" t="n">
        <f aca="false">MAX(V111:AI111)</f>
        <v>0.00136117081700604</v>
      </c>
    </row>
    <row r="112" customFormat="false" ht="15" hidden="false" customHeight="false" outlineLevel="0" collapsed="false">
      <c r="A112" s="2" t="s">
        <v>43</v>
      </c>
      <c r="B112" s="2" t="s">
        <v>40</v>
      </c>
      <c r="C112" s="2" t="n">
        <v>30</v>
      </c>
      <c r="D112" s="3" t="n">
        <v>-1779.97698010631</v>
      </c>
      <c r="E112" s="3" t="n">
        <v>-2.15888453577456</v>
      </c>
      <c r="F112" s="3" t="n">
        <v>-345.837698699726</v>
      </c>
      <c r="G112" s="3" t="n">
        <v>-41.8030499411647</v>
      </c>
      <c r="H112" s="3" t="n">
        <v>-36.8305702252407</v>
      </c>
      <c r="I112" s="3" t="n">
        <v>-4.77486196694979</v>
      </c>
      <c r="J112" s="3" t="n">
        <v>-3.19538908074535</v>
      </c>
      <c r="K112" s="3" t="n">
        <v>-0.545647478850986</v>
      </c>
      <c r="L112" s="3" t="n">
        <v>-0.351926009314656</v>
      </c>
      <c r="M112" s="3"/>
      <c r="N112" s="3"/>
      <c r="O112" s="3"/>
      <c r="P112" s="3"/>
      <c r="Q112" s="3"/>
      <c r="R112" s="3"/>
      <c r="S112" s="3"/>
      <c r="T112" s="3" t="n">
        <f aca="false">ABS(D112-SUMIFS($D$2:$D$205,$A$2:$A$205,$A112,$B$2:$B$205,$B112,$C$2:$C$205,100))</f>
        <v>4.06550659590721E-005</v>
      </c>
      <c r="U112" s="3" t="n">
        <f aca="false">ABS(E112-SUMIFS($E$2:$E$205,$A$2:$A$205,$A112,$B$2:$B$205,$B112,$C$2:$C$205,100))</f>
        <v>4.06620297859206E-005</v>
      </c>
      <c r="V112" s="3" t="n">
        <f aca="false">IF(ISBLANK(F112),"",ABS(F112-SUMIFS($F$2:$F$205,$A$2:$A$205,$A112,$B$2:$B$205,$B112,$C$2:$C$205,100)))</f>
        <v>4.89093980604594E-006</v>
      </c>
      <c r="W112" s="3" t="n">
        <f aca="false">IF(ISBLANK(G112),"",ABS(G112-SUMIFS($G$2:$G$205,$A$2:$A$205,$A112,$B$2:$B$205,$B112,$C$2:$C$205,100)))</f>
        <v>4.62387218078675E-005</v>
      </c>
      <c r="X112" s="3" t="n">
        <f aca="false">IF(ISBLANK(H112),"",ABS(H112-SUMIFS($H$2:$H$205,$A$2:$A$205,$A112,$B$2:$B$205,$B112,$C$2:$C$205,100)))</f>
        <v>4.86380161461852E-005</v>
      </c>
      <c r="Y112" s="3" t="n">
        <f aca="false">IF(ISBLANK(I112),"",ABS(I112-SUMIFS($I$2:$I$205,$A$2:$A$205,$A112,$B$2:$B$205,$B112,$C$2:$C$205,100)))</f>
        <v>2.45854145255464E-005</v>
      </c>
      <c r="Z112" s="3" t="n">
        <f aca="false">IF(ISBLANK(J112),"",ABS(J112-SUMIFS($J$2:$J$205,$A$2:$A$205,$A112,$B$2:$B$205,$B112,$C$2:$C$205,100)))</f>
        <v>2.52115881438364E-005</v>
      </c>
      <c r="AA112" s="3" t="n">
        <f aca="false">IF(ISBLANK(K112),"",ABS(K112-SUMIFS($K$2:$K$205,$A$2:$A$205,$A112,$B$2:$B$205,$B112,$C$2:$C$205,100)))</f>
        <v>2.6630108434178E-005</v>
      </c>
      <c r="AB112" s="3" t="n">
        <f aca="false">IF(ISBLANK(L112),"",ABS(L112-SUMIFS($L$2:$L$205,$A$2:$A$205,$A112,$B$2:$B$205,$B112,$C$2:$C$205,100)))</f>
        <v>2.67071638911931E-005</v>
      </c>
      <c r="AC112" s="3" t="str">
        <f aca="false">IF(ISBLANK(M112),"",ABS(M112-SUMIFS($M$2:$M$205,$A$2:$A$205,$A112,$B$2:$B$205,$B112,$C$2:$C$205,100)))</f>
        <v/>
      </c>
      <c r="AD112" s="3" t="str">
        <f aca="false">IF(ISBLANK(N112),"",ABS(N112-SUMIFS($N$2:$N$205,$A$2:$A$205,$A112,$B$2:$B$205,$B112,$C$2:$C$205,100)))</f>
        <v/>
      </c>
      <c r="AE112" s="3" t="str">
        <f aca="false">IF(ISBLANK(O112),"",ABS(O112-SUMIFS($O$2:$O$205,$A$2:$A$205,$A112,$B$2:$B$205,$B112,$C$2:$C$205,100)))</f>
        <v/>
      </c>
      <c r="AF112" s="3" t="str">
        <f aca="false">IF(ISBLANK(P112),"",ABS(P112-SUMIFS($P$2:$P$205,$A$2:$A$205,$A112,$B$2:$B$205,$B112,$C$2:$C$205,100)))</f>
        <v/>
      </c>
      <c r="AG112" s="3" t="str">
        <f aca="false">IF(ISBLANK(Q112),"",ABS(Q112-SUMIFS($Q$2:$Q$205,$A$2:$A$205,$A112,$B$2:$B$205,$B112,$C$2:$C$205,100)))</f>
        <v/>
      </c>
      <c r="AH112" s="3" t="str">
        <f aca="false">IF(ISBLANK(R112),"",ABS(R112-SUMIFS($R$2:$R$205,$A$2:$A$205,$A112,$B$2:$B$205,$B112,$C$2:$C$205,100)))</f>
        <v/>
      </c>
      <c r="AI112" s="3" t="str">
        <f aca="false">IF(ISBLANK(S112),"",ABS(S112-SUMIFS($S$2:$S$205,$A$2:$A$205,$A112,$B$2:$B$205,$B112,$C$2:$C$205,100)))</f>
        <v/>
      </c>
      <c r="AJ112" s="3" t="n">
        <f aca="false">MAX(V112:AI112)</f>
        <v>4.86380161461852E-005</v>
      </c>
    </row>
    <row r="113" customFormat="false" ht="15" hidden="false" customHeight="false" outlineLevel="0" collapsed="false">
      <c r="A113" s="2" t="s">
        <v>43</v>
      </c>
      <c r="B113" s="2" t="s">
        <v>40</v>
      </c>
      <c r="C113" s="2" t="n">
        <v>50</v>
      </c>
      <c r="D113" s="3" t="n">
        <v>-1779.97702076318</v>
      </c>
      <c r="E113" s="3" t="n">
        <v>-2.15892519953685</v>
      </c>
      <c r="F113" s="3" t="n">
        <v>-345.837703618245</v>
      </c>
      <c r="G113" s="3" t="n">
        <v>-41.8030963643096</v>
      </c>
      <c r="H113" s="3" t="n">
        <v>-36.8306190618042</v>
      </c>
      <c r="I113" s="3" t="n">
        <v>-4.77488666400341</v>
      </c>
      <c r="J113" s="3" t="n">
        <v>-3.19541440400404</v>
      </c>
      <c r="K113" s="3" t="n">
        <v>-0.545674219979653</v>
      </c>
      <c r="L113" s="3" t="n">
        <v>-0.351952827827216</v>
      </c>
      <c r="M113" s="3"/>
      <c r="N113" s="3"/>
      <c r="O113" s="3"/>
      <c r="P113" s="3"/>
      <c r="Q113" s="3"/>
      <c r="R113" s="3"/>
      <c r="S113" s="3"/>
      <c r="T113" s="3" t="n">
        <f aca="false">ABS(D113-SUMIFS($D$2:$D$205,$A$2:$A$205,$A113,$B$2:$B$205,$B113,$C$2:$C$205,100))</f>
        <v>1.80011738848407E-009</v>
      </c>
      <c r="U113" s="3" t="n">
        <f aca="false">ABS(E113-SUMIFS($E$2:$E$205,$A$2:$A$205,$A113,$B$2:$B$205,$B113,$C$2:$C$205,100))</f>
        <v>1.73250791490887E-009</v>
      </c>
      <c r="V113" s="3" t="n">
        <f aca="false">IF(ISBLANK(F113),"",ABS(F113-SUMIFS($F$2:$F$205,$A$2:$A$205,$A113,$B$2:$B$205,$B113,$C$2:$C$205,100)))</f>
        <v>2.75791762760491E-008</v>
      </c>
      <c r="W113" s="3" t="n">
        <f aca="false">IF(ISBLANK(G113),"",ABS(G113-SUMIFS($G$2:$G$205,$A$2:$A$205,$A113,$B$2:$B$205,$B113,$C$2:$C$205,100)))</f>
        <v>1.84423136317946E-007</v>
      </c>
      <c r="X113" s="3" t="n">
        <f aca="false">IF(ISBLANK(H113),"",ABS(H113-SUMIFS($H$2:$H$205,$A$2:$A$205,$A113,$B$2:$B$205,$B113,$C$2:$C$205,100)))</f>
        <v>1.98547368768232E-007</v>
      </c>
      <c r="Y113" s="3" t="n">
        <f aca="false">IF(ISBLANK(I113),"",ABS(I113-SUMIFS($I$2:$I$205,$A$2:$A$205,$A113,$B$2:$B$205,$B113,$C$2:$C$205,100)))</f>
        <v>1.11639099742433E-007</v>
      </c>
      <c r="Z113" s="3" t="n">
        <f aca="false">IF(ISBLANK(J113),"",ABS(J113-SUMIFS($J$2:$J$205,$A$2:$A$205,$A113,$B$2:$B$205,$B113,$C$2:$C$205,100)))</f>
        <v>1.11670551028453E-007</v>
      </c>
      <c r="AA113" s="3" t="n">
        <f aca="false">IF(ISBLANK(K113),"",ABS(K113-SUMIFS($K$2:$K$205,$A$2:$A$205,$A113,$B$2:$B$205,$B113,$C$2:$C$205,100)))</f>
        <v>1.11020232562709E-007</v>
      </c>
      <c r="AB113" s="3" t="n">
        <f aca="false">IF(ISBLANK(L113),"",ABS(L113-SUMIFS($L$2:$L$205,$A$2:$A$205,$A113,$B$2:$B$205,$B113,$C$2:$C$205,100)))</f>
        <v>1.11348669118438E-007</v>
      </c>
      <c r="AC113" s="3" t="str">
        <f aca="false">IF(ISBLANK(M113),"",ABS(M113-SUMIFS($M$2:$M$205,$A$2:$A$205,$A113,$B$2:$B$205,$B113,$C$2:$C$205,100)))</f>
        <v/>
      </c>
      <c r="AD113" s="3" t="str">
        <f aca="false">IF(ISBLANK(N113),"",ABS(N113-SUMIFS($N$2:$N$205,$A$2:$A$205,$A113,$B$2:$B$205,$B113,$C$2:$C$205,100)))</f>
        <v/>
      </c>
      <c r="AE113" s="3" t="str">
        <f aca="false">IF(ISBLANK(O113),"",ABS(O113-SUMIFS($O$2:$O$205,$A$2:$A$205,$A113,$B$2:$B$205,$B113,$C$2:$C$205,100)))</f>
        <v/>
      </c>
      <c r="AF113" s="3" t="str">
        <f aca="false">IF(ISBLANK(P113),"",ABS(P113-SUMIFS($P$2:$P$205,$A$2:$A$205,$A113,$B$2:$B$205,$B113,$C$2:$C$205,100)))</f>
        <v/>
      </c>
      <c r="AG113" s="3" t="str">
        <f aca="false">IF(ISBLANK(Q113),"",ABS(Q113-SUMIFS($Q$2:$Q$205,$A$2:$A$205,$A113,$B$2:$B$205,$B113,$C$2:$C$205,100)))</f>
        <v/>
      </c>
      <c r="AH113" s="3" t="str">
        <f aca="false">IF(ISBLANK(R113),"",ABS(R113-SUMIFS($R$2:$R$205,$A$2:$A$205,$A113,$B$2:$B$205,$B113,$C$2:$C$205,100)))</f>
        <v/>
      </c>
      <c r="AI113" s="3" t="str">
        <f aca="false">IF(ISBLANK(S113),"",ABS(S113-SUMIFS($S$2:$S$205,$A$2:$A$205,$A113,$B$2:$B$205,$B113,$C$2:$C$205,100)))</f>
        <v/>
      </c>
      <c r="AJ113" s="3" t="n">
        <f aca="false">MAX(V113:AI113)</f>
        <v>1.98547368768232E-007</v>
      </c>
    </row>
    <row r="114" customFormat="false" ht="15" hidden="false" customHeight="false" outlineLevel="0" collapsed="false">
      <c r="A114" s="2" t="s">
        <v>43</v>
      </c>
      <c r="B114" s="2" t="s">
        <v>40</v>
      </c>
      <c r="C114" s="2" t="n">
        <v>80</v>
      </c>
      <c r="D114" s="3" t="n">
        <v>-1779.97702076138</v>
      </c>
      <c r="E114" s="3" t="n">
        <v>-2.15892519780341</v>
      </c>
      <c r="F114" s="3" t="n">
        <v>-345.837703590679</v>
      </c>
      <c r="G114" s="3" t="n">
        <v>-41.8030961798997</v>
      </c>
      <c r="H114" s="3" t="n">
        <v>-36.8306188629658</v>
      </c>
      <c r="I114" s="3" t="n">
        <v>-4.77488655237753</v>
      </c>
      <c r="J114" s="3" t="n">
        <v>-3.19541429262945</v>
      </c>
      <c r="K114" s="3" t="n">
        <v>-0.54567410895942</v>
      </c>
      <c r="L114" s="3" t="n">
        <v>-0.351952716491767</v>
      </c>
      <c r="M114" s="3"/>
      <c r="N114" s="3"/>
      <c r="O114" s="3"/>
      <c r="P114" s="3"/>
      <c r="Q114" s="3"/>
      <c r="R114" s="3"/>
      <c r="S114" s="3"/>
      <c r="T114" s="3" t="n">
        <f aca="false">ABS(D114-SUMIFS($D$2:$D$205,$A$2:$A$205,$A114,$B$2:$B$205,$B114,$C$2:$C$205,100))</f>
        <v>0</v>
      </c>
      <c r="U114" s="3" t="n">
        <f aca="false">ABS(E114-SUMIFS($E$2:$E$205,$A$2:$A$205,$A114,$B$2:$B$205,$B114,$C$2:$C$205,100))</f>
        <v>9.33031429894982E-013</v>
      </c>
      <c r="V114" s="3" t="n">
        <f aca="false">IF(ISBLANK(F114),"",ABS(F114-SUMIFS($F$2:$F$205,$A$2:$A$205,$A114,$B$2:$B$205,$B114,$C$2:$C$205,100)))</f>
        <v>1.33013600134291E-011</v>
      </c>
      <c r="W114" s="3" t="n">
        <f aca="false">IF(ISBLANK(G114),"",ABS(G114-SUMIFS($G$2:$G$205,$A$2:$A$205,$A114,$B$2:$B$205,$B114,$C$2:$C$205,100)))</f>
        <v>1.32303057398531E-011</v>
      </c>
      <c r="X114" s="3" t="n">
        <f aca="false">IF(ISBLANK(H114),"",ABS(H114-SUMIFS($H$2:$H$205,$A$2:$A$205,$A114,$B$2:$B$205,$B114,$C$2:$C$205,100)))</f>
        <v>2.91031199139979E-010</v>
      </c>
      <c r="Y114" s="3" t="n">
        <f aca="false">IF(ISBLANK(I114),"",ABS(I114-SUMIFS($I$2:$I$205,$A$2:$A$205,$A114,$B$2:$B$205,$B114,$C$2:$C$205,100)))</f>
        <v>1.32196475988167E-011</v>
      </c>
      <c r="Z114" s="3" t="n">
        <f aca="false">IF(ISBLANK(J114),"",ABS(J114-SUMIFS($J$2:$J$205,$A$2:$A$205,$A114,$B$2:$B$205,$B114,$C$2:$C$205,100)))</f>
        <v>2.95954816209587E-010</v>
      </c>
      <c r="AA114" s="3" t="n">
        <f aca="false">IF(ISBLANK(K114),"",ABS(K114-SUMIFS($K$2:$K$205,$A$2:$A$205,$A114,$B$2:$B$205,$B114,$C$2:$C$205,100)))</f>
        <v>0</v>
      </c>
      <c r="AB114" s="3" t="n">
        <f aca="false">IF(ISBLANK(L114),"",ABS(L114-SUMIFS($L$2:$L$205,$A$2:$A$205,$A114,$B$2:$B$205,$B114,$C$2:$C$205,100)))</f>
        <v>1.32195920876654E-011</v>
      </c>
      <c r="AC114" s="3" t="str">
        <f aca="false">IF(ISBLANK(M114),"",ABS(M114-SUMIFS($M$2:$M$205,$A$2:$A$205,$A114,$B$2:$B$205,$B114,$C$2:$C$205,100)))</f>
        <v/>
      </c>
      <c r="AD114" s="3" t="str">
        <f aca="false">IF(ISBLANK(N114),"",ABS(N114-SUMIFS($N$2:$N$205,$A$2:$A$205,$A114,$B$2:$B$205,$B114,$C$2:$C$205,100)))</f>
        <v/>
      </c>
      <c r="AE114" s="3" t="str">
        <f aca="false">IF(ISBLANK(O114),"",ABS(O114-SUMIFS($O$2:$O$205,$A$2:$A$205,$A114,$B$2:$B$205,$B114,$C$2:$C$205,100)))</f>
        <v/>
      </c>
      <c r="AF114" s="3" t="str">
        <f aca="false">IF(ISBLANK(P114),"",ABS(P114-SUMIFS($P$2:$P$205,$A$2:$A$205,$A114,$B$2:$B$205,$B114,$C$2:$C$205,100)))</f>
        <v/>
      </c>
      <c r="AG114" s="3" t="str">
        <f aca="false">IF(ISBLANK(Q114),"",ABS(Q114-SUMIFS($Q$2:$Q$205,$A$2:$A$205,$A114,$B$2:$B$205,$B114,$C$2:$C$205,100)))</f>
        <v/>
      </c>
      <c r="AH114" s="3" t="str">
        <f aca="false">IF(ISBLANK(R114),"",ABS(R114-SUMIFS($R$2:$R$205,$A$2:$A$205,$A114,$B$2:$B$205,$B114,$C$2:$C$205,100)))</f>
        <v/>
      </c>
      <c r="AI114" s="3" t="str">
        <f aca="false">IF(ISBLANK(S114),"",ABS(S114-SUMIFS($S$2:$S$205,$A$2:$A$205,$A114,$B$2:$B$205,$B114,$C$2:$C$205,100)))</f>
        <v/>
      </c>
      <c r="AJ114" s="3" t="n">
        <f aca="false">MAX(V114:AI114)</f>
        <v>2.95954816209587E-010</v>
      </c>
    </row>
    <row r="115" customFormat="false" ht="15" hidden="false" customHeight="false" outlineLevel="0" collapsed="false">
      <c r="A115" s="4" t="s">
        <v>43</v>
      </c>
      <c r="B115" s="4" t="s">
        <v>40</v>
      </c>
      <c r="C115" s="4" t="n">
        <v>100</v>
      </c>
      <c r="D115" s="5" t="n">
        <v>-1779.97702076138</v>
      </c>
      <c r="E115" s="5" t="n">
        <v>-2.15892519780435</v>
      </c>
      <c r="F115" s="3" t="n">
        <v>-345.837703590666</v>
      </c>
      <c r="G115" s="3" t="n">
        <v>-41.8030961798865</v>
      </c>
      <c r="H115" s="3" t="n">
        <v>-36.8306188632569</v>
      </c>
      <c r="I115" s="3" t="n">
        <v>-4.77488655236431</v>
      </c>
      <c r="J115" s="3" t="n">
        <v>-3.19541429233349</v>
      </c>
      <c r="K115" s="3" t="n">
        <v>-0.54567410895942</v>
      </c>
      <c r="L115" s="3" t="n">
        <v>-0.351952716478547</v>
      </c>
      <c r="M115" s="3"/>
      <c r="N115" s="3"/>
      <c r="O115" s="3"/>
      <c r="P115" s="3"/>
      <c r="Q115" s="3"/>
      <c r="R115" s="3"/>
      <c r="S115" s="3"/>
      <c r="T115" s="3" t="n">
        <f aca="false">ABS(D115-SUMIFS($D$2:$D$205,$A$2:$A$205,$A115,$B$2:$B$205,$B115,$C$2:$C$205,100))</f>
        <v>0</v>
      </c>
      <c r="U115" s="3" t="n">
        <f aca="false">ABS(E115-SUMIFS($E$2:$E$205,$A$2:$A$205,$A115,$B$2:$B$205,$B115,$C$2:$C$205,100))</f>
        <v>0</v>
      </c>
      <c r="V115" s="3" t="n">
        <f aca="false">IF(ISBLANK(F115),"",ABS(F115-SUMIFS($F$2:$F$205,$A$2:$A$205,$A115,$B$2:$B$205,$B115,$C$2:$C$205,100)))</f>
        <v>0</v>
      </c>
      <c r="W115" s="3" t="n">
        <f aca="false">IF(ISBLANK(G115),"",ABS(G115-SUMIFS($G$2:$G$205,$A$2:$A$205,$A115,$B$2:$B$205,$B115,$C$2:$C$205,100)))</f>
        <v>0</v>
      </c>
      <c r="X115" s="3" t="n">
        <f aca="false">IF(ISBLANK(H115),"",ABS(H115-SUMIFS($H$2:$H$205,$A$2:$A$205,$A115,$B$2:$B$205,$B115,$C$2:$C$205,100)))</f>
        <v>0</v>
      </c>
      <c r="Y115" s="3" t="n">
        <f aca="false">IF(ISBLANK(I115),"",ABS(I115-SUMIFS($I$2:$I$205,$A$2:$A$205,$A115,$B$2:$B$205,$B115,$C$2:$C$205,100)))</f>
        <v>0</v>
      </c>
      <c r="Z115" s="3" t="n">
        <f aca="false">IF(ISBLANK(J115),"",ABS(J115-SUMIFS($J$2:$J$205,$A$2:$A$205,$A115,$B$2:$B$205,$B115,$C$2:$C$205,100)))</f>
        <v>0</v>
      </c>
      <c r="AA115" s="3" t="n">
        <f aca="false">IF(ISBLANK(K115),"",ABS(K115-SUMIFS($K$2:$K$205,$A$2:$A$205,$A115,$B$2:$B$205,$B115,$C$2:$C$205,100)))</f>
        <v>0</v>
      </c>
      <c r="AB115" s="3" t="n">
        <f aca="false">IF(ISBLANK(L115),"",ABS(L115-SUMIFS($L$2:$L$205,$A$2:$A$205,$A115,$B$2:$B$205,$B115,$C$2:$C$205,100)))</f>
        <v>0</v>
      </c>
      <c r="AC115" s="3" t="str">
        <f aca="false">IF(ISBLANK(M115),"",ABS(M115-SUMIFS($M$2:$M$205,$A$2:$A$205,$A115,$B$2:$B$205,$B115,$C$2:$C$205,100)))</f>
        <v/>
      </c>
      <c r="AD115" s="3" t="str">
        <f aca="false">IF(ISBLANK(N115),"",ABS(N115-SUMIFS($N$2:$N$205,$A$2:$A$205,$A115,$B$2:$B$205,$B115,$C$2:$C$205,100)))</f>
        <v/>
      </c>
      <c r="AE115" s="3" t="str">
        <f aca="false">IF(ISBLANK(O115),"",ABS(O115-SUMIFS($O$2:$O$205,$A$2:$A$205,$A115,$B$2:$B$205,$B115,$C$2:$C$205,100)))</f>
        <v/>
      </c>
      <c r="AF115" s="3" t="str">
        <f aca="false">IF(ISBLANK(P115),"",ABS(P115-SUMIFS($P$2:$P$205,$A$2:$A$205,$A115,$B$2:$B$205,$B115,$C$2:$C$205,100)))</f>
        <v/>
      </c>
      <c r="AG115" s="3" t="str">
        <f aca="false">IF(ISBLANK(Q115),"",ABS(Q115-SUMIFS($Q$2:$Q$205,$A$2:$A$205,$A115,$B$2:$B$205,$B115,$C$2:$C$205,100)))</f>
        <v/>
      </c>
      <c r="AH115" s="3" t="str">
        <f aca="false">IF(ISBLANK(R115),"",ABS(R115-SUMIFS($R$2:$R$205,$A$2:$A$205,$A115,$B$2:$B$205,$B115,$C$2:$C$205,100)))</f>
        <v/>
      </c>
      <c r="AI115" s="3" t="str">
        <f aca="false">IF(ISBLANK(S115),"",ABS(S115-SUMIFS($S$2:$S$205,$A$2:$A$205,$A115,$B$2:$B$205,$B115,$C$2:$C$205,100)))</f>
        <v/>
      </c>
      <c r="AJ115" s="3" t="n">
        <f aca="false">MAX(V115:AI115)</f>
        <v>0</v>
      </c>
    </row>
    <row r="116" customFormat="false" ht="15" hidden="false" customHeight="false" outlineLevel="0" collapsed="false">
      <c r="A116" s="2" t="s">
        <v>43</v>
      </c>
      <c r="B116" s="2" t="s">
        <v>41</v>
      </c>
      <c r="C116" s="2" t="n">
        <v>5</v>
      </c>
      <c r="D116" s="3" t="n">
        <v>-1779.76821499073</v>
      </c>
      <c r="E116" s="3" t="n">
        <v>-1.94970307690275</v>
      </c>
      <c r="F116" s="3" t="n">
        <v>-345.767025694856</v>
      </c>
      <c r="G116" s="3" t="n">
        <v>-41.7631397879709</v>
      </c>
      <c r="H116" s="3" t="n">
        <v>-36.777425689322</v>
      </c>
      <c r="I116" s="3" t="n">
        <v>-4.76550399116671</v>
      </c>
      <c r="J116" s="3" t="n">
        <v>-3.18588102093173</v>
      </c>
      <c r="K116" s="3" t="n">
        <v>-0.538858907487513</v>
      </c>
      <c r="L116" s="3" t="n">
        <v>-0.344264430779732</v>
      </c>
      <c r="M116" s="3"/>
      <c r="N116" s="3"/>
      <c r="O116" s="3"/>
      <c r="P116" s="3"/>
      <c r="Q116" s="3"/>
      <c r="R116" s="3"/>
      <c r="S116" s="3"/>
      <c r="T116" s="3" t="n">
        <f aca="false">ABS(D116-SUMIFS($D$2:$D$205,$A$2:$A$205,$A116,$B$2:$B$205,$B116,$C$2:$C$205,100))</f>
        <v>0.209160757808831</v>
      </c>
      <c r="U116" s="3" t="n">
        <f aca="false">ABS(E116-SUMIFS($E$2:$E$205,$A$2:$A$205,$A116,$B$2:$B$205,$B116,$C$2:$C$205,100))</f>
        <v>0.209577105925844</v>
      </c>
      <c r="V116" s="3" t="n">
        <f aca="false">IF(ISBLANK(F116),"",ABS(F116-SUMIFS($F$2:$F$205,$A$2:$A$205,$A116,$B$2:$B$205,$B116,$C$2:$C$205,100)))</f>
        <v>0.070993637543495</v>
      </c>
      <c r="W116" s="3" t="n">
        <f aca="false">IF(ISBLANK(G116),"",ABS(G116-SUMIFS($G$2:$G$205,$A$2:$A$205,$A116,$B$2:$B$205,$B116,$C$2:$C$205,100)))</f>
        <v>0.0399811695151726</v>
      </c>
      <c r="X116" s="3" t="n">
        <f aca="false">IF(ISBLANK(H116),"",ABS(H116-SUMIFS($H$2:$H$205,$A$2:$A$205,$A116,$B$2:$B$205,$B116,$C$2:$C$205,100)))</f>
        <v>0.0531895506574216</v>
      </c>
      <c r="Y116" s="3" t="n">
        <f aca="false">IF(ISBLANK(I116),"",ABS(I116-SUMIFS($I$2:$I$205,$A$2:$A$205,$A116,$B$2:$B$205,$B116,$C$2:$C$205,100)))</f>
        <v>0.00938603468373067</v>
      </c>
      <c r="Z116" s="3" t="n">
        <f aca="false">IF(ISBLANK(J116),"",ABS(J116-SUMIFS($J$2:$J$205,$A$2:$A$205,$A116,$B$2:$B$205,$B116,$C$2:$C$205,100)))</f>
        <v>0.0095328000060988</v>
      </c>
      <c r="AA116" s="3" t="n">
        <f aca="false">IF(ISBLANK(K116),"",ABS(K116-SUMIFS($K$2:$K$205,$A$2:$A$205,$A116,$B$2:$B$205,$B116,$C$2:$C$205,100)))</f>
        <v>0.0068149832071065</v>
      </c>
      <c r="AB116" s="3" t="n">
        <f aca="false">IF(ISBLANK(L116),"",ABS(L116-SUMIFS($L$2:$L$205,$A$2:$A$205,$A116,$B$2:$B$205,$B116,$C$2:$C$205,100)))</f>
        <v>0.00768842007713627</v>
      </c>
      <c r="AC116" s="3" t="str">
        <f aca="false">IF(ISBLANK(M116),"",ABS(M116-SUMIFS($M$2:$M$205,$A$2:$A$205,$A116,$B$2:$B$205,$B116,$C$2:$C$205,100)))</f>
        <v/>
      </c>
      <c r="AD116" s="3" t="str">
        <f aca="false">IF(ISBLANK(N116),"",ABS(N116-SUMIFS($N$2:$N$205,$A$2:$A$205,$A116,$B$2:$B$205,$B116,$C$2:$C$205,100)))</f>
        <v/>
      </c>
      <c r="AE116" s="3" t="str">
        <f aca="false">IF(ISBLANK(O116),"",ABS(O116-SUMIFS($O$2:$O$205,$A$2:$A$205,$A116,$B$2:$B$205,$B116,$C$2:$C$205,100)))</f>
        <v/>
      </c>
      <c r="AF116" s="3" t="str">
        <f aca="false">IF(ISBLANK(P116),"",ABS(P116-SUMIFS($P$2:$P$205,$A$2:$A$205,$A116,$B$2:$B$205,$B116,$C$2:$C$205,100)))</f>
        <v/>
      </c>
      <c r="AG116" s="3" t="str">
        <f aca="false">IF(ISBLANK(Q116),"",ABS(Q116-SUMIFS($Q$2:$Q$205,$A$2:$A$205,$A116,$B$2:$B$205,$B116,$C$2:$C$205,100)))</f>
        <v/>
      </c>
      <c r="AH116" s="3" t="str">
        <f aca="false">IF(ISBLANK(R116),"",ABS(R116-SUMIFS($R$2:$R$205,$A$2:$A$205,$A116,$B$2:$B$205,$B116,$C$2:$C$205,100)))</f>
        <v/>
      </c>
      <c r="AI116" s="3" t="str">
        <f aca="false">IF(ISBLANK(S116),"",ABS(S116-SUMIFS($S$2:$S$205,$A$2:$A$205,$A116,$B$2:$B$205,$B116,$C$2:$C$205,100)))</f>
        <v/>
      </c>
      <c r="AJ116" s="3" t="n">
        <f aca="false">MAX(V116:AI116)</f>
        <v>0.070993637543495</v>
      </c>
    </row>
    <row r="117" customFormat="false" ht="15" hidden="false" customHeight="false" outlineLevel="0" collapsed="false">
      <c r="A117" s="2" t="s">
        <v>43</v>
      </c>
      <c r="B117" s="2" t="s">
        <v>41</v>
      </c>
      <c r="C117" s="2" t="n">
        <v>10</v>
      </c>
      <c r="D117" s="3" t="n">
        <v>-1779.95604906636</v>
      </c>
      <c r="E117" s="3" t="n">
        <v>-2.13798523921382</v>
      </c>
      <c r="F117" s="3" t="n">
        <v>-345.812540411072</v>
      </c>
      <c r="G117" s="3" t="n">
        <v>-41.8100352176599</v>
      </c>
      <c r="H117" s="3" t="n">
        <v>-36.8380602326548</v>
      </c>
      <c r="I117" s="3" t="n">
        <v>-4.77447132523138</v>
      </c>
      <c r="J117" s="3" t="n">
        <v>-3.19484734685309</v>
      </c>
      <c r="K117" s="3" t="n">
        <v>-0.545343838277018</v>
      </c>
      <c r="L117" s="3" t="n">
        <v>-0.351610332131518</v>
      </c>
      <c r="M117" s="3"/>
      <c r="N117" s="3"/>
      <c r="O117" s="3"/>
      <c r="P117" s="3"/>
      <c r="Q117" s="3"/>
      <c r="R117" s="3"/>
      <c r="S117" s="3"/>
      <c r="T117" s="3" t="n">
        <f aca="false">ABS(D117-SUMIFS($D$2:$D$205,$A$2:$A$205,$A117,$B$2:$B$205,$B117,$C$2:$C$205,100))</f>
        <v>0.0213266821829166</v>
      </c>
      <c r="U117" s="3" t="n">
        <f aca="false">ABS(E117-SUMIFS($E$2:$E$205,$A$2:$A$205,$A117,$B$2:$B$205,$B117,$C$2:$C$205,100))</f>
        <v>0.0212949436147771</v>
      </c>
      <c r="V117" s="3" t="n">
        <f aca="false">IF(ISBLANK(F117),"",ABS(F117-SUMIFS($F$2:$F$205,$A$2:$A$205,$A117,$B$2:$B$205,$B117,$C$2:$C$205,100)))</f>
        <v>0.0254789213281583</v>
      </c>
      <c r="W117" s="3" t="n">
        <f aca="false">IF(ISBLANK(G117),"",ABS(G117-SUMIFS($G$2:$G$205,$A$2:$A$205,$A117,$B$2:$B$205,$B117,$C$2:$C$205,100)))</f>
        <v>0.00691426017385055</v>
      </c>
      <c r="X117" s="3" t="n">
        <f aca="false">IF(ISBLANK(H117),"",ABS(H117-SUMIFS($H$2:$H$205,$A$2:$A$205,$A117,$B$2:$B$205,$B117,$C$2:$C$205,100)))</f>
        <v>0.00744499267534593</v>
      </c>
      <c r="Y117" s="3" t="n">
        <f aca="false">IF(ISBLANK(I117),"",ABS(I117-SUMIFS($I$2:$I$205,$A$2:$A$205,$A117,$B$2:$B$205,$B117,$C$2:$C$205,100)))</f>
        <v>0.000418700619063017</v>
      </c>
      <c r="Z117" s="3" t="n">
        <f aca="false">IF(ISBLANK(J117),"",ABS(J117-SUMIFS($J$2:$J$205,$A$2:$A$205,$A117,$B$2:$B$205,$B117,$C$2:$C$205,100)))</f>
        <v>0.00056647408473598</v>
      </c>
      <c r="AA117" s="3" t="n">
        <f aca="false">IF(ISBLANK(K117),"",ABS(K117-SUMIFS($K$2:$K$205,$A$2:$A$205,$A117,$B$2:$B$205,$B117,$C$2:$C$205,100)))</f>
        <v>0.000330052417601312</v>
      </c>
      <c r="AB117" s="3" t="n">
        <f aca="false">IF(ISBLANK(L117),"",ABS(L117-SUMIFS($L$2:$L$205,$A$2:$A$205,$A117,$B$2:$B$205,$B117,$C$2:$C$205,100)))</f>
        <v>0.000342518725349683</v>
      </c>
      <c r="AC117" s="3" t="str">
        <f aca="false">IF(ISBLANK(M117),"",ABS(M117-SUMIFS($M$2:$M$205,$A$2:$A$205,$A117,$B$2:$B$205,$B117,$C$2:$C$205,100)))</f>
        <v/>
      </c>
      <c r="AD117" s="3" t="str">
        <f aca="false">IF(ISBLANK(N117),"",ABS(N117-SUMIFS($N$2:$N$205,$A$2:$A$205,$A117,$B$2:$B$205,$B117,$C$2:$C$205,100)))</f>
        <v/>
      </c>
      <c r="AE117" s="3" t="str">
        <f aca="false">IF(ISBLANK(O117),"",ABS(O117-SUMIFS($O$2:$O$205,$A$2:$A$205,$A117,$B$2:$B$205,$B117,$C$2:$C$205,100)))</f>
        <v/>
      </c>
      <c r="AF117" s="3" t="str">
        <f aca="false">IF(ISBLANK(P117),"",ABS(P117-SUMIFS($P$2:$P$205,$A$2:$A$205,$A117,$B$2:$B$205,$B117,$C$2:$C$205,100)))</f>
        <v/>
      </c>
      <c r="AG117" s="3" t="str">
        <f aca="false">IF(ISBLANK(Q117),"",ABS(Q117-SUMIFS($Q$2:$Q$205,$A$2:$A$205,$A117,$B$2:$B$205,$B117,$C$2:$C$205,100)))</f>
        <v/>
      </c>
      <c r="AH117" s="3" t="str">
        <f aca="false">IF(ISBLANK(R117),"",ABS(R117-SUMIFS($R$2:$R$205,$A$2:$A$205,$A117,$B$2:$B$205,$B117,$C$2:$C$205,100)))</f>
        <v/>
      </c>
      <c r="AI117" s="3" t="str">
        <f aca="false">IF(ISBLANK(S117),"",ABS(S117-SUMIFS($S$2:$S$205,$A$2:$A$205,$A117,$B$2:$B$205,$B117,$C$2:$C$205,100)))</f>
        <v/>
      </c>
      <c r="AJ117" s="3" t="n">
        <f aca="false">MAX(V117:AI117)</f>
        <v>0.0254789213281583</v>
      </c>
    </row>
    <row r="118" customFormat="false" ht="15" hidden="false" customHeight="false" outlineLevel="0" collapsed="false">
      <c r="A118" s="2" t="s">
        <v>43</v>
      </c>
      <c r="B118" s="2" t="s">
        <v>41</v>
      </c>
      <c r="C118" s="2" t="n">
        <v>15</v>
      </c>
      <c r="D118" s="3" t="n">
        <v>-1779.96428534204</v>
      </c>
      <c r="E118" s="3" t="n">
        <v>-2.14622359669053</v>
      </c>
      <c r="F118" s="3" t="n">
        <v>-345.805479825722</v>
      </c>
      <c r="G118" s="3" t="n">
        <v>-41.8036931660928</v>
      </c>
      <c r="H118" s="3" t="n">
        <v>-36.8342970682975</v>
      </c>
      <c r="I118" s="3" t="n">
        <v>-4.77481918679384</v>
      </c>
      <c r="J118" s="3" t="n">
        <v>-3.19560247605948</v>
      </c>
      <c r="K118" s="3" t="n">
        <v>-0.545654912087669</v>
      </c>
      <c r="L118" s="3" t="n">
        <v>-0.35195417008826</v>
      </c>
      <c r="M118" s="3"/>
      <c r="N118" s="3"/>
      <c r="O118" s="3"/>
      <c r="P118" s="3"/>
      <c r="Q118" s="3"/>
      <c r="R118" s="3"/>
      <c r="S118" s="3"/>
      <c r="T118" s="3" t="n">
        <f aca="false">ABS(D118-SUMIFS($D$2:$D$205,$A$2:$A$205,$A118,$B$2:$B$205,$B118,$C$2:$C$205,100))</f>
        <v>0.0130904064999413</v>
      </c>
      <c r="U118" s="3" t="n">
        <f aca="false">ABS(E118-SUMIFS($E$2:$E$205,$A$2:$A$205,$A118,$B$2:$B$205,$B118,$C$2:$C$205,100))</f>
        <v>0.013056586138068</v>
      </c>
      <c r="V118" s="3" t="n">
        <f aca="false">IF(ISBLANK(F118),"",ABS(F118-SUMIFS($F$2:$F$205,$A$2:$A$205,$A118,$B$2:$B$205,$B118,$C$2:$C$205,100)))</f>
        <v>0.032539506677665</v>
      </c>
      <c r="W118" s="3" t="n">
        <f aca="false">IF(ISBLANK(G118),"",ABS(G118-SUMIFS($G$2:$G$205,$A$2:$A$205,$A118,$B$2:$B$205,$B118,$C$2:$C$205,100)))</f>
        <v>0.000572208606726576</v>
      </c>
      <c r="X118" s="3" t="n">
        <f aca="false">IF(ISBLANK(H118),"",ABS(H118-SUMIFS($H$2:$H$205,$A$2:$A$205,$A118,$B$2:$B$205,$B118,$C$2:$C$205,100)))</f>
        <v>0.00368182831811481</v>
      </c>
      <c r="Y118" s="3" t="n">
        <f aca="false">IF(ISBLANK(I118),"",ABS(I118-SUMIFS($I$2:$I$205,$A$2:$A$205,$A118,$B$2:$B$205,$B118,$C$2:$C$205,100)))</f>
        <v>7.08390566046546E-005</v>
      </c>
      <c r="Z118" s="3" t="n">
        <f aca="false">IF(ISBLANK(J118),"",ABS(J118-SUMIFS($J$2:$J$205,$A$2:$A$205,$A118,$B$2:$B$205,$B118,$C$2:$C$205,100)))</f>
        <v>0.000188655121658332</v>
      </c>
      <c r="AA118" s="3" t="n">
        <f aca="false">IF(ISBLANK(K118),"",ABS(K118-SUMIFS($K$2:$K$205,$A$2:$A$205,$A118,$B$2:$B$205,$B118,$C$2:$C$205,100)))</f>
        <v>1.89786069508813E-005</v>
      </c>
      <c r="AB118" s="3" t="n">
        <f aca="false">IF(ISBLANK(L118),"",ABS(L118-SUMIFS($L$2:$L$205,$A$2:$A$205,$A118,$B$2:$B$205,$B118,$C$2:$C$205,100)))</f>
        <v>1.31923139251589E-006</v>
      </c>
      <c r="AC118" s="3" t="str">
        <f aca="false">IF(ISBLANK(M118),"",ABS(M118-SUMIFS($M$2:$M$205,$A$2:$A$205,$A118,$B$2:$B$205,$B118,$C$2:$C$205,100)))</f>
        <v/>
      </c>
      <c r="AD118" s="3" t="str">
        <f aca="false">IF(ISBLANK(N118),"",ABS(N118-SUMIFS($N$2:$N$205,$A$2:$A$205,$A118,$B$2:$B$205,$B118,$C$2:$C$205,100)))</f>
        <v/>
      </c>
      <c r="AE118" s="3" t="str">
        <f aca="false">IF(ISBLANK(O118),"",ABS(O118-SUMIFS($O$2:$O$205,$A$2:$A$205,$A118,$B$2:$B$205,$B118,$C$2:$C$205,100)))</f>
        <v/>
      </c>
      <c r="AF118" s="3" t="str">
        <f aca="false">IF(ISBLANK(P118),"",ABS(P118-SUMIFS($P$2:$P$205,$A$2:$A$205,$A118,$B$2:$B$205,$B118,$C$2:$C$205,100)))</f>
        <v/>
      </c>
      <c r="AG118" s="3" t="str">
        <f aca="false">IF(ISBLANK(Q118),"",ABS(Q118-SUMIFS($Q$2:$Q$205,$A$2:$A$205,$A118,$B$2:$B$205,$B118,$C$2:$C$205,100)))</f>
        <v/>
      </c>
      <c r="AH118" s="3" t="str">
        <f aca="false">IF(ISBLANK(R118),"",ABS(R118-SUMIFS($R$2:$R$205,$A$2:$A$205,$A118,$B$2:$B$205,$B118,$C$2:$C$205,100)))</f>
        <v/>
      </c>
      <c r="AI118" s="3" t="str">
        <f aca="false">IF(ISBLANK(S118),"",ABS(S118-SUMIFS($S$2:$S$205,$A$2:$A$205,$A118,$B$2:$B$205,$B118,$C$2:$C$205,100)))</f>
        <v/>
      </c>
      <c r="AJ118" s="3" t="n">
        <f aca="false">MAX(V118:AI118)</f>
        <v>0.032539506677665</v>
      </c>
    </row>
    <row r="119" customFormat="false" ht="15" hidden="false" customHeight="false" outlineLevel="0" collapsed="false">
      <c r="A119" s="2" t="s">
        <v>43</v>
      </c>
      <c r="B119" s="2" t="s">
        <v>41</v>
      </c>
      <c r="C119" s="2" t="n">
        <v>20</v>
      </c>
      <c r="D119" s="3" t="n">
        <v>-1779.9793629155</v>
      </c>
      <c r="E119" s="3" t="n">
        <v>-2.16128029901989</v>
      </c>
      <c r="F119" s="3" t="n">
        <v>-345.81510283588</v>
      </c>
      <c r="G119" s="3" t="n">
        <v>-41.8022730027874</v>
      </c>
      <c r="H119" s="3" t="n">
        <v>-36.8322336684708</v>
      </c>
      <c r="I119" s="3" t="n">
        <v>-4.7747420896334</v>
      </c>
      <c r="J119" s="3" t="n">
        <v>-3.19554384832983</v>
      </c>
      <c r="K119" s="3" t="n">
        <v>-0.545675678699628</v>
      </c>
      <c r="L119" s="3" t="n">
        <v>-0.351953101980439</v>
      </c>
      <c r="M119" s="3"/>
      <c r="N119" s="3"/>
      <c r="O119" s="3"/>
      <c r="P119" s="3"/>
      <c r="Q119" s="3"/>
      <c r="R119" s="3"/>
      <c r="S119" s="3"/>
      <c r="T119" s="3" t="n">
        <f aca="false">ABS(D119-SUMIFS($D$2:$D$205,$A$2:$A$205,$A119,$B$2:$B$205,$B119,$C$2:$C$205,100))</f>
        <v>0.00198716696013435</v>
      </c>
      <c r="U119" s="3" t="n">
        <f aca="false">ABS(E119-SUMIFS($E$2:$E$205,$A$2:$A$205,$A119,$B$2:$B$205,$B119,$C$2:$C$205,100))</f>
        <v>0.00200011619129592</v>
      </c>
      <c r="V119" s="3" t="n">
        <f aca="false">IF(ISBLANK(F119),"",ABS(F119-SUMIFS($F$2:$F$205,$A$2:$A$205,$A119,$B$2:$B$205,$B119,$C$2:$C$205,100)))</f>
        <v>0.0229164965201676</v>
      </c>
      <c r="W119" s="3" t="n">
        <f aca="false">IF(ISBLANK(G119),"",ABS(G119-SUMIFS($G$2:$G$205,$A$2:$A$205,$A119,$B$2:$B$205,$B119,$C$2:$C$205,100)))</f>
        <v>0.000847954698649289</v>
      </c>
      <c r="X119" s="3" t="n">
        <f aca="false">IF(ISBLANK(H119),"",ABS(H119-SUMIFS($H$2:$H$205,$A$2:$A$205,$A119,$B$2:$B$205,$B119,$C$2:$C$205,100)))</f>
        <v>0.00161842849139759</v>
      </c>
      <c r="Y119" s="3" t="n">
        <f aca="false">IF(ISBLANK(I119),"",ABS(I119-SUMIFS($I$2:$I$205,$A$2:$A$205,$A119,$B$2:$B$205,$B119,$C$2:$C$205,100)))</f>
        <v>0.000147936217040012</v>
      </c>
      <c r="Z119" s="3" t="n">
        <f aca="false">IF(ISBLANK(J119),"",ABS(J119-SUMIFS($J$2:$J$205,$A$2:$A$205,$A119,$B$2:$B$205,$B119,$C$2:$C$205,100)))</f>
        <v>0.000130027392004184</v>
      </c>
      <c r="AA119" s="3" t="n">
        <f aca="false">IF(ISBLANK(K119),"",ABS(K119-SUMIFS($K$2:$K$205,$A$2:$A$205,$A119,$B$2:$B$205,$B119,$C$2:$C$205,100)))</f>
        <v>1.7880050080521E-006</v>
      </c>
      <c r="AB119" s="3" t="n">
        <f aca="false">IF(ISBLANK(L119),"",ABS(L119-SUMIFS($L$2:$L$205,$A$2:$A$205,$A119,$B$2:$B$205,$B119,$C$2:$C$205,100)))</f>
        <v>2.51123571326506E-007</v>
      </c>
      <c r="AC119" s="3" t="str">
        <f aca="false">IF(ISBLANK(M119),"",ABS(M119-SUMIFS($M$2:$M$205,$A$2:$A$205,$A119,$B$2:$B$205,$B119,$C$2:$C$205,100)))</f>
        <v/>
      </c>
      <c r="AD119" s="3" t="str">
        <f aca="false">IF(ISBLANK(N119),"",ABS(N119-SUMIFS($N$2:$N$205,$A$2:$A$205,$A119,$B$2:$B$205,$B119,$C$2:$C$205,100)))</f>
        <v/>
      </c>
      <c r="AE119" s="3" t="str">
        <f aca="false">IF(ISBLANK(O119),"",ABS(O119-SUMIFS($O$2:$O$205,$A$2:$A$205,$A119,$B$2:$B$205,$B119,$C$2:$C$205,100)))</f>
        <v/>
      </c>
      <c r="AF119" s="3" t="str">
        <f aca="false">IF(ISBLANK(P119),"",ABS(P119-SUMIFS($P$2:$P$205,$A$2:$A$205,$A119,$B$2:$B$205,$B119,$C$2:$C$205,100)))</f>
        <v/>
      </c>
      <c r="AG119" s="3" t="str">
        <f aca="false">IF(ISBLANK(Q119),"",ABS(Q119-SUMIFS($Q$2:$Q$205,$A$2:$A$205,$A119,$B$2:$B$205,$B119,$C$2:$C$205,100)))</f>
        <v/>
      </c>
      <c r="AH119" s="3" t="str">
        <f aca="false">IF(ISBLANK(R119),"",ABS(R119-SUMIFS($R$2:$R$205,$A$2:$A$205,$A119,$B$2:$B$205,$B119,$C$2:$C$205,100)))</f>
        <v/>
      </c>
      <c r="AI119" s="3" t="str">
        <f aca="false">IF(ISBLANK(S119),"",ABS(S119-SUMIFS($S$2:$S$205,$A$2:$A$205,$A119,$B$2:$B$205,$B119,$C$2:$C$205,100)))</f>
        <v/>
      </c>
      <c r="AJ119" s="3" t="n">
        <f aca="false">MAX(V119:AI119)</f>
        <v>0.0229164965201676</v>
      </c>
    </row>
    <row r="120" customFormat="false" ht="15" hidden="false" customHeight="false" outlineLevel="0" collapsed="false">
      <c r="A120" s="2" t="s">
        <v>43</v>
      </c>
      <c r="B120" s="2" t="s">
        <v>41</v>
      </c>
      <c r="C120" s="2" t="n">
        <v>30</v>
      </c>
      <c r="D120" s="3" t="n">
        <v>-1779.98680360321</v>
      </c>
      <c r="E120" s="3" t="n">
        <v>-2.16871270800685</v>
      </c>
      <c r="F120" s="3" t="n">
        <v>-345.84226367261</v>
      </c>
      <c r="G120" s="3" t="n">
        <v>-41.8032323010698</v>
      </c>
      <c r="H120" s="3" t="n">
        <v>-36.8311542461679</v>
      </c>
      <c r="I120" s="3" t="n">
        <v>-4.77491660773541</v>
      </c>
      <c r="J120" s="3" t="n">
        <v>-3.19548757392129</v>
      </c>
      <c r="K120" s="3" t="n">
        <v>-0.545665155690262</v>
      </c>
      <c r="L120" s="3" t="n">
        <v>-0.351955296292432</v>
      </c>
      <c r="M120" s="3"/>
      <c r="N120" s="3"/>
      <c r="O120" s="3"/>
      <c r="P120" s="3"/>
      <c r="Q120" s="3"/>
      <c r="R120" s="3"/>
      <c r="S120" s="3"/>
      <c r="T120" s="3" t="n">
        <f aca="false">ABS(D120-SUMIFS($D$2:$D$205,$A$2:$A$205,$A120,$B$2:$B$205,$B120,$C$2:$C$205,100))</f>
        <v>0.00942785466804708</v>
      </c>
      <c r="U120" s="3" t="n">
        <f aca="false">ABS(E120-SUMIFS($E$2:$E$205,$A$2:$A$205,$A120,$B$2:$B$205,$B120,$C$2:$C$205,100))</f>
        <v>0.00943252517825988</v>
      </c>
      <c r="V120" s="3" t="n">
        <f aca="false">IF(ISBLANK(F120),"",ABS(F120-SUMIFS($F$2:$F$205,$A$2:$A$205,$A120,$B$2:$B$205,$B120,$C$2:$C$205,100)))</f>
        <v>0.00424434020970921</v>
      </c>
      <c r="W120" s="3" t="n">
        <f aca="false">IF(ISBLANK(G120),"",ABS(G120-SUMIFS($G$2:$G$205,$A$2:$A$205,$A120,$B$2:$B$205,$B120,$C$2:$C$205,100)))</f>
        <v>0.000111343583704127</v>
      </c>
      <c r="X120" s="3" t="n">
        <f aca="false">IF(ISBLANK(H120),"",ABS(H120-SUMIFS($H$2:$H$205,$A$2:$A$205,$A120,$B$2:$B$205,$B120,$C$2:$C$205,100)))</f>
        <v>0.000539006188503777</v>
      </c>
      <c r="Y120" s="3" t="n">
        <f aca="false">IF(ISBLANK(I120),"",ABS(I120-SUMIFS($I$2:$I$205,$A$2:$A$205,$A120,$B$2:$B$205,$B120,$C$2:$C$205,100)))</f>
        <v>2.65818849651822E-005</v>
      </c>
      <c r="Z120" s="3" t="n">
        <f aca="false">IF(ISBLANK(J120),"",ABS(J120-SUMIFS($J$2:$J$205,$A$2:$A$205,$A120,$B$2:$B$205,$B120,$C$2:$C$205,100)))</f>
        <v>7.37529834640149E-005</v>
      </c>
      <c r="AA120" s="3" t="n">
        <f aca="false">IF(ISBLANK(K120),"",ABS(K120-SUMIFS($K$2:$K$205,$A$2:$A$205,$A120,$B$2:$B$205,$B120,$C$2:$C$205,100)))</f>
        <v>8.73500435716323E-006</v>
      </c>
      <c r="AB120" s="3" t="n">
        <f aca="false">IF(ISBLANK(L120),"",ABS(L120-SUMIFS($L$2:$L$205,$A$2:$A$205,$A120,$B$2:$B$205,$B120,$C$2:$C$205,100)))</f>
        <v>2.44543556382482E-006</v>
      </c>
      <c r="AC120" s="3" t="str">
        <f aca="false">IF(ISBLANK(M120),"",ABS(M120-SUMIFS($M$2:$M$205,$A$2:$A$205,$A120,$B$2:$B$205,$B120,$C$2:$C$205,100)))</f>
        <v/>
      </c>
      <c r="AD120" s="3" t="str">
        <f aca="false">IF(ISBLANK(N120),"",ABS(N120-SUMIFS($N$2:$N$205,$A$2:$A$205,$A120,$B$2:$B$205,$B120,$C$2:$C$205,100)))</f>
        <v/>
      </c>
      <c r="AE120" s="3" t="str">
        <f aca="false">IF(ISBLANK(O120),"",ABS(O120-SUMIFS($O$2:$O$205,$A$2:$A$205,$A120,$B$2:$B$205,$B120,$C$2:$C$205,100)))</f>
        <v/>
      </c>
      <c r="AF120" s="3" t="str">
        <f aca="false">IF(ISBLANK(P120),"",ABS(P120-SUMIFS($P$2:$P$205,$A$2:$A$205,$A120,$B$2:$B$205,$B120,$C$2:$C$205,100)))</f>
        <v/>
      </c>
      <c r="AG120" s="3" t="str">
        <f aca="false">IF(ISBLANK(Q120),"",ABS(Q120-SUMIFS($Q$2:$Q$205,$A$2:$A$205,$A120,$B$2:$B$205,$B120,$C$2:$C$205,100)))</f>
        <v/>
      </c>
      <c r="AH120" s="3" t="str">
        <f aca="false">IF(ISBLANK(R120),"",ABS(R120-SUMIFS($R$2:$R$205,$A$2:$A$205,$A120,$B$2:$B$205,$B120,$C$2:$C$205,100)))</f>
        <v/>
      </c>
      <c r="AI120" s="3" t="str">
        <f aca="false">IF(ISBLANK(S120),"",ABS(S120-SUMIFS($S$2:$S$205,$A$2:$A$205,$A120,$B$2:$B$205,$B120,$C$2:$C$205,100)))</f>
        <v/>
      </c>
      <c r="AJ120" s="3" t="n">
        <f aca="false">MAX(V120:AI120)</f>
        <v>0.00424434020970921</v>
      </c>
    </row>
    <row r="121" customFormat="false" ht="15" hidden="false" customHeight="false" outlineLevel="0" collapsed="false">
      <c r="A121" s="2" t="s">
        <v>43</v>
      </c>
      <c r="B121" s="2" t="s">
        <v>41</v>
      </c>
      <c r="C121" s="2" t="n">
        <v>50</v>
      </c>
      <c r="D121" s="3" t="n">
        <v>-1779.97967692063</v>
      </c>
      <c r="E121" s="3" t="n">
        <v>-2.16158211876597</v>
      </c>
      <c r="F121" s="3" t="n">
        <v>-345.840020041781</v>
      </c>
      <c r="G121" s="3" t="n">
        <v>-41.8032094024513</v>
      </c>
      <c r="H121" s="3" t="n">
        <v>-36.8306387932693</v>
      </c>
      <c r="I121" s="3" t="n">
        <v>-4.77490422306222</v>
      </c>
      <c r="J121" s="3" t="n">
        <v>-3.1954202162869</v>
      </c>
      <c r="K121" s="3" t="n">
        <v>-0.545672299205528</v>
      </c>
      <c r="L121" s="3" t="n">
        <v>-0.351953597812304</v>
      </c>
      <c r="M121" s="3"/>
      <c r="N121" s="3"/>
      <c r="O121" s="3"/>
      <c r="P121" s="3"/>
      <c r="Q121" s="3"/>
      <c r="R121" s="3"/>
      <c r="S121" s="3"/>
      <c r="T121" s="3" t="n">
        <f aca="false">ABS(D121-SUMIFS($D$2:$D$205,$A$2:$A$205,$A121,$B$2:$B$205,$B121,$C$2:$C$205,100))</f>
        <v>0.0023011720879822</v>
      </c>
      <c r="U121" s="3" t="n">
        <f aca="false">ABS(E121-SUMIFS($E$2:$E$205,$A$2:$A$205,$A121,$B$2:$B$205,$B121,$C$2:$C$205,100))</f>
        <v>0.00230193593737393</v>
      </c>
      <c r="V121" s="3" t="n">
        <f aca="false">IF(ISBLANK(F121),"",ABS(F121-SUMIFS($F$2:$F$205,$A$2:$A$205,$A121,$B$2:$B$205,$B121,$C$2:$C$205,100)))</f>
        <v>0.00200070938063845</v>
      </c>
      <c r="W121" s="3" t="n">
        <f aca="false">IF(ISBLANK(G121),"",ABS(G121-SUMIFS($G$2:$G$205,$A$2:$A$205,$A121,$B$2:$B$205,$B121,$C$2:$C$205,100)))</f>
        <v>8.84449651863406E-005</v>
      </c>
      <c r="X121" s="3" t="n">
        <f aca="false">IF(ISBLANK(H121),"",ABS(H121-SUMIFS($H$2:$H$205,$A$2:$A$205,$A121,$B$2:$B$205,$B121,$C$2:$C$205,100)))</f>
        <v>2.35532899068858E-005</v>
      </c>
      <c r="Y121" s="3" t="n">
        <f aca="false">IF(ISBLANK(I121),"",ABS(I121-SUMIFS($I$2:$I$205,$A$2:$A$205,$A121,$B$2:$B$205,$B121,$C$2:$C$205,100)))</f>
        <v>1.41972117724265E-005</v>
      </c>
      <c r="Z121" s="3" t="n">
        <f aca="false">IF(ISBLANK(J121),"",ABS(J121-SUMIFS($J$2:$J$205,$A$2:$A$205,$A121,$B$2:$B$205,$B121,$C$2:$C$205,100)))</f>
        <v>6.39534907920236E-006</v>
      </c>
      <c r="AA121" s="3" t="n">
        <f aca="false">IF(ISBLANK(K121),"",ABS(K121-SUMIFS($K$2:$K$205,$A$2:$A$205,$A121,$B$2:$B$205,$B121,$C$2:$C$205,100)))</f>
        <v>1.59148909117945E-006</v>
      </c>
      <c r="AB121" s="3" t="n">
        <f aca="false">IF(ISBLANK(L121),"",ABS(L121-SUMIFS($L$2:$L$205,$A$2:$A$205,$A121,$B$2:$B$205,$B121,$C$2:$C$205,100)))</f>
        <v>7.46955436503605E-007</v>
      </c>
      <c r="AC121" s="3" t="str">
        <f aca="false">IF(ISBLANK(M121),"",ABS(M121-SUMIFS($M$2:$M$205,$A$2:$A$205,$A121,$B$2:$B$205,$B121,$C$2:$C$205,100)))</f>
        <v/>
      </c>
      <c r="AD121" s="3" t="str">
        <f aca="false">IF(ISBLANK(N121),"",ABS(N121-SUMIFS($N$2:$N$205,$A$2:$A$205,$A121,$B$2:$B$205,$B121,$C$2:$C$205,100)))</f>
        <v/>
      </c>
      <c r="AE121" s="3" t="str">
        <f aca="false">IF(ISBLANK(O121),"",ABS(O121-SUMIFS($O$2:$O$205,$A$2:$A$205,$A121,$B$2:$B$205,$B121,$C$2:$C$205,100)))</f>
        <v/>
      </c>
      <c r="AF121" s="3" t="str">
        <f aca="false">IF(ISBLANK(P121),"",ABS(P121-SUMIFS($P$2:$P$205,$A$2:$A$205,$A121,$B$2:$B$205,$B121,$C$2:$C$205,100)))</f>
        <v/>
      </c>
      <c r="AG121" s="3" t="str">
        <f aca="false">IF(ISBLANK(Q121),"",ABS(Q121-SUMIFS($Q$2:$Q$205,$A$2:$A$205,$A121,$B$2:$B$205,$B121,$C$2:$C$205,100)))</f>
        <v/>
      </c>
      <c r="AH121" s="3" t="str">
        <f aca="false">IF(ISBLANK(R121),"",ABS(R121-SUMIFS($R$2:$R$205,$A$2:$A$205,$A121,$B$2:$B$205,$B121,$C$2:$C$205,100)))</f>
        <v/>
      </c>
      <c r="AI121" s="3" t="str">
        <f aca="false">IF(ISBLANK(S121),"",ABS(S121-SUMIFS($S$2:$S$205,$A$2:$A$205,$A121,$B$2:$B$205,$B121,$C$2:$C$205,100)))</f>
        <v/>
      </c>
      <c r="AJ121" s="3" t="n">
        <f aca="false">MAX(V121:AI121)</f>
        <v>0.00200070938063845</v>
      </c>
    </row>
    <row r="122" customFormat="false" ht="15" hidden="false" customHeight="false" outlineLevel="0" collapsed="false">
      <c r="A122" s="2" t="s">
        <v>43</v>
      </c>
      <c r="B122" s="2" t="s">
        <v>41</v>
      </c>
      <c r="C122" s="2" t="n">
        <v>80</v>
      </c>
      <c r="D122" s="3" t="n">
        <v>-1779.97773884411</v>
      </c>
      <c r="E122" s="3" t="n">
        <v>-2.15964331061215</v>
      </c>
      <c r="F122" s="3" t="n">
        <v>-345.838361212749</v>
      </c>
      <c r="G122" s="3" t="n">
        <v>-41.8031405255124</v>
      </c>
      <c r="H122" s="3" t="n">
        <v>-36.8306139973592</v>
      </c>
      <c r="I122" s="3" t="n">
        <v>-4.77489266623817</v>
      </c>
      <c r="J122" s="3" t="n">
        <v>-3.19541381472419</v>
      </c>
      <c r="K122" s="3" t="n">
        <v>-0.545673699267638</v>
      </c>
      <c r="L122" s="3" t="n">
        <v>-0.351952963310027</v>
      </c>
      <c r="M122" s="3"/>
      <c r="N122" s="3"/>
      <c r="O122" s="3"/>
      <c r="P122" s="3"/>
      <c r="Q122" s="3"/>
      <c r="R122" s="3"/>
      <c r="S122" s="3"/>
      <c r="T122" s="3" t="n">
        <f aca="false">ABS(D122-SUMIFS($D$2:$D$205,$A$2:$A$205,$A122,$B$2:$B$205,$B122,$C$2:$C$205,100))</f>
        <v>0.000363095572993188</v>
      </c>
      <c r="U122" s="3" t="n">
        <f aca="false">ABS(E122-SUMIFS($E$2:$E$205,$A$2:$A$205,$A122,$B$2:$B$205,$B122,$C$2:$C$205,100))</f>
        <v>0.00036312778355585</v>
      </c>
      <c r="V122" s="3" t="n">
        <f aca="false">IF(ISBLANK(F122),"",ABS(F122-SUMIFS($F$2:$F$205,$A$2:$A$205,$A122,$B$2:$B$205,$B122,$C$2:$C$205,100)))</f>
        <v>0.000341880349026269</v>
      </c>
      <c r="W122" s="3" t="n">
        <f aca="false">IF(ISBLANK(G122),"",ABS(G122-SUMIFS($G$2:$G$205,$A$2:$A$205,$A122,$B$2:$B$205,$B122,$C$2:$C$205,100)))</f>
        <v>1.95680263601616E-005</v>
      </c>
      <c r="X122" s="3" t="n">
        <f aca="false">IF(ISBLANK(H122),"",ABS(H122-SUMIFS($H$2:$H$205,$A$2:$A$205,$A122,$B$2:$B$205,$B122,$C$2:$C$205,100)))</f>
        <v>1.24262021472532E-006</v>
      </c>
      <c r="Y122" s="3" t="n">
        <f aca="false">IF(ISBLANK(I122),"",ABS(I122-SUMIFS($I$2:$I$205,$A$2:$A$205,$A122,$B$2:$B$205,$B122,$C$2:$C$205,100)))</f>
        <v>2.64038772357367E-006</v>
      </c>
      <c r="Z122" s="3" t="n">
        <f aca="false">IF(ISBLANK(J122),"",ABS(J122-SUMIFS($J$2:$J$205,$A$2:$A$205,$A122,$B$2:$B$205,$B122,$C$2:$C$205,100)))</f>
        <v>6.21363493991112E-009</v>
      </c>
      <c r="AA122" s="3" t="n">
        <f aca="false">IF(ISBLANK(K122),"",ABS(K122-SUMIFS($K$2:$K$205,$A$2:$A$205,$A122,$B$2:$B$205,$B122,$C$2:$C$205,100)))</f>
        <v>1.91426981821508E-007</v>
      </c>
      <c r="AB122" s="3" t="n">
        <f aca="false">IF(ISBLANK(L122),"",ABS(L122-SUMIFS($L$2:$L$205,$A$2:$A$205,$A122,$B$2:$B$205,$B122,$C$2:$C$205,100)))</f>
        <v>1.12453159506476E-007</v>
      </c>
      <c r="AC122" s="3" t="str">
        <f aca="false">IF(ISBLANK(M122),"",ABS(M122-SUMIFS($M$2:$M$205,$A$2:$A$205,$A122,$B$2:$B$205,$B122,$C$2:$C$205,100)))</f>
        <v/>
      </c>
      <c r="AD122" s="3" t="str">
        <f aca="false">IF(ISBLANK(N122),"",ABS(N122-SUMIFS($N$2:$N$205,$A$2:$A$205,$A122,$B$2:$B$205,$B122,$C$2:$C$205,100)))</f>
        <v/>
      </c>
      <c r="AE122" s="3" t="str">
        <f aca="false">IF(ISBLANK(O122),"",ABS(O122-SUMIFS($O$2:$O$205,$A$2:$A$205,$A122,$B$2:$B$205,$B122,$C$2:$C$205,100)))</f>
        <v/>
      </c>
      <c r="AF122" s="3" t="str">
        <f aca="false">IF(ISBLANK(P122),"",ABS(P122-SUMIFS($P$2:$P$205,$A$2:$A$205,$A122,$B$2:$B$205,$B122,$C$2:$C$205,100)))</f>
        <v/>
      </c>
      <c r="AG122" s="3" t="str">
        <f aca="false">IF(ISBLANK(Q122),"",ABS(Q122-SUMIFS($Q$2:$Q$205,$A$2:$A$205,$A122,$B$2:$B$205,$B122,$C$2:$C$205,100)))</f>
        <v/>
      </c>
      <c r="AH122" s="3" t="str">
        <f aca="false">IF(ISBLANK(R122),"",ABS(R122-SUMIFS($R$2:$R$205,$A$2:$A$205,$A122,$B$2:$B$205,$B122,$C$2:$C$205,100)))</f>
        <v/>
      </c>
      <c r="AI122" s="3" t="str">
        <f aca="false">IF(ISBLANK(S122),"",ABS(S122-SUMIFS($S$2:$S$205,$A$2:$A$205,$A122,$B$2:$B$205,$B122,$C$2:$C$205,100)))</f>
        <v/>
      </c>
      <c r="AJ122" s="3" t="n">
        <f aca="false">MAX(V122:AI122)</f>
        <v>0.000341880349026269</v>
      </c>
    </row>
    <row r="123" customFormat="false" ht="15" hidden="false" customHeight="false" outlineLevel="0" collapsed="false">
      <c r="A123" s="4" t="s">
        <v>43</v>
      </c>
      <c r="B123" s="4" t="s">
        <v>41</v>
      </c>
      <c r="C123" s="4" t="n">
        <v>100</v>
      </c>
      <c r="D123" s="5" t="n">
        <v>-1779.97737574854</v>
      </c>
      <c r="E123" s="5" t="n">
        <v>-2.15928018282859</v>
      </c>
      <c r="F123" s="3" t="n">
        <v>-345.8380193324</v>
      </c>
      <c r="G123" s="3" t="n">
        <v>-41.8031209574861</v>
      </c>
      <c r="H123" s="3" t="n">
        <v>-36.8306152399794</v>
      </c>
      <c r="I123" s="3" t="n">
        <v>-4.77489002585044</v>
      </c>
      <c r="J123" s="3" t="n">
        <v>-3.19541382093782</v>
      </c>
      <c r="K123" s="3" t="n">
        <v>-0.54567389069462</v>
      </c>
      <c r="L123" s="3" t="n">
        <v>-0.351952850856868</v>
      </c>
      <c r="M123" s="3"/>
      <c r="N123" s="3"/>
      <c r="O123" s="3"/>
      <c r="P123" s="3"/>
      <c r="Q123" s="3"/>
      <c r="R123" s="3"/>
      <c r="S123" s="3"/>
      <c r="T123" s="3" t="n">
        <f aca="false">ABS(D123-SUMIFS($D$2:$D$205,$A$2:$A$205,$A123,$B$2:$B$205,$B123,$C$2:$C$205,100))</f>
        <v>0</v>
      </c>
      <c r="U123" s="3" t="n">
        <f aca="false">ABS(E123-SUMIFS($E$2:$E$205,$A$2:$A$205,$A123,$B$2:$B$205,$B123,$C$2:$C$205,100))</f>
        <v>0</v>
      </c>
      <c r="V123" s="3" t="n">
        <f aca="false">IF(ISBLANK(F123),"",ABS(F123-SUMIFS($F$2:$F$205,$A$2:$A$205,$A123,$B$2:$B$205,$B123,$C$2:$C$205,100)))</f>
        <v>0</v>
      </c>
      <c r="W123" s="3" t="n">
        <f aca="false">IF(ISBLANK(G123),"",ABS(G123-SUMIFS($G$2:$G$205,$A$2:$A$205,$A123,$B$2:$B$205,$B123,$C$2:$C$205,100)))</f>
        <v>0</v>
      </c>
      <c r="X123" s="3" t="n">
        <f aca="false">IF(ISBLANK(H123),"",ABS(H123-SUMIFS($H$2:$H$205,$A$2:$A$205,$A123,$B$2:$B$205,$B123,$C$2:$C$205,100)))</f>
        <v>0</v>
      </c>
      <c r="Y123" s="3" t="n">
        <f aca="false">IF(ISBLANK(I123),"",ABS(I123-SUMIFS($I$2:$I$205,$A$2:$A$205,$A123,$B$2:$B$205,$B123,$C$2:$C$205,100)))</f>
        <v>0</v>
      </c>
      <c r="Z123" s="3" t="n">
        <f aca="false">IF(ISBLANK(J123),"",ABS(J123-SUMIFS($J$2:$J$205,$A$2:$A$205,$A123,$B$2:$B$205,$B123,$C$2:$C$205,100)))</f>
        <v>0</v>
      </c>
      <c r="AA123" s="3" t="n">
        <f aca="false">IF(ISBLANK(K123),"",ABS(K123-SUMIFS($K$2:$K$205,$A$2:$A$205,$A123,$B$2:$B$205,$B123,$C$2:$C$205,100)))</f>
        <v>0</v>
      </c>
      <c r="AB123" s="3" t="n">
        <f aca="false">IF(ISBLANK(L123),"",ABS(L123-SUMIFS($L$2:$L$205,$A$2:$A$205,$A123,$B$2:$B$205,$B123,$C$2:$C$205,100)))</f>
        <v>0</v>
      </c>
      <c r="AC123" s="3" t="str">
        <f aca="false">IF(ISBLANK(M123),"",ABS(M123-SUMIFS($M$2:$M$205,$A$2:$A$205,$A123,$B$2:$B$205,$B123,$C$2:$C$205,100)))</f>
        <v/>
      </c>
      <c r="AD123" s="3" t="str">
        <f aca="false">IF(ISBLANK(N123),"",ABS(N123-SUMIFS($N$2:$N$205,$A$2:$A$205,$A123,$B$2:$B$205,$B123,$C$2:$C$205,100)))</f>
        <v/>
      </c>
      <c r="AE123" s="3" t="str">
        <f aca="false">IF(ISBLANK(O123),"",ABS(O123-SUMIFS($O$2:$O$205,$A$2:$A$205,$A123,$B$2:$B$205,$B123,$C$2:$C$205,100)))</f>
        <v/>
      </c>
      <c r="AF123" s="3" t="str">
        <f aca="false">IF(ISBLANK(P123),"",ABS(P123-SUMIFS($P$2:$P$205,$A$2:$A$205,$A123,$B$2:$B$205,$B123,$C$2:$C$205,100)))</f>
        <v/>
      </c>
      <c r="AG123" s="3" t="str">
        <f aca="false">IF(ISBLANK(Q123),"",ABS(Q123-SUMIFS($Q$2:$Q$205,$A$2:$A$205,$A123,$B$2:$B$205,$B123,$C$2:$C$205,100)))</f>
        <v/>
      </c>
      <c r="AH123" s="3" t="str">
        <f aca="false">IF(ISBLANK(R123),"",ABS(R123-SUMIFS($R$2:$R$205,$A$2:$A$205,$A123,$B$2:$B$205,$B123,$C$2:$C$205,100)))</f>
        <v/>
      </c>
      <c r="AI123" s="3" t="str">
        <f aca="false">IF(ISBLANK(S123),"",ABS(S123-SUMIFS($S$2:$S$205,$A$2:$A$205,$A123,$B$2:$B$205,$B123,$C$2:$C$205,100)))</f>
        <v/>
      </c>
      <c r="AJ123" s="3" t="n">
        <f aca="false">MAX(V123:AI123)</f>
        <v>0</v>
      </c>
    </row>
    <row r="124" customFormat="false" ht="15" hidden="false" customHeight="false" outlineLevel="0" collapsed="false">
      <c r="A124" s="2" t="s">
        <v>44</v>
      </c>
      <c r="B124" s="2" t="s">
        <v>37</v>
      </c>
      <c r="C124" s="2" t="n">
        <v>5</v>
      </c>
      <c r="D124" s="3" t="n">
        <v>-3977.73547165662</v>
      </c>
      <c r="E124" s="3" t="n">
        <v>-3.01731732140128</v>
      </c>
      <c r="F124" s="3" t="n">
        <v>-710.433866531023</v>
      </c>
      <c r="G124" s="3" t="n">
        <v>-98.8149582794157</v>
      </c>
      <c r="H124" s="3" t="n">
        <v>-90.9543264179507</v>
      </c>
      <c r="I124" s="3" t="n">
        <v>-16.9673930009164</v>
      </c>
      <c r="J124" s="3" t="n">
        <v>-13.9511656520435</v>
      </c>
      <c r="K124" s="3" t="n">
        <v>-8.45512391134427</v>
      </c>
      <c r="L124" s="3" t="n">
        <v>-2.27646922103804</v>
      </c>
      <c r="M124" s="3" t="n">
        <v>-1.42952208674567</v>
      </c>
      <c r="N124" s="3" t="n">
        <v>-0.21053864838618</v>
      </c>
      <c r="O124" s="3" t="n">
        <v>-0.226692082161183</v>
      </c>
      <c r="P124" s="3"/>
      <c r="Q124" s="3"/>
      <c r="R124" s="3"/>
      <c r="S124" s="3"/>
      <c r="T124" s="3" t="n">
        <f aca="false">ABS(D124-SUMIFS($D$2:$D$205,$A$2:$A$205,$A124,$B$2:$B$205,$B124,$C$2:$C$205,100))</f>
        <v>0.151823854182112</v>
      </c>
      <c r="U124" s="3" t="n">
        <f aca="false">ABS(E124-SUMIFS($E$2:$E$205,$A$2:$A$205,$A124,$B$2:$B$205,$B124,$C$2:$C$205,100))</f>
        <v>0.15585553299719</v>
      </c>
      <c r="V124" s="3" t="n">
        <f aca="false">IF(ISBLANK(F124),"",ABS(F124-SUMIFS($F$2:$F$205,$A$2:$A$205,$A124,$B$2:$B$205,$B124,$C$2:$C$205,100)))</f>
        <v>0.0359978780440997</v>
      </c>
      <c r="W124" s="3" t="n">
        <f aca="false">IF(ISBLANK(G124),"",ABS(G124-SUMIFS($G$2:$G$205,$A$2:$A$205,$A124,$B$2:$B$205,$B124,$C$2:$C$205,100)))</f>
        <v>0.076491745381162</v>
      </c>
      <c r="X124" s="3" t="n">
        <f aca="false">IF(ISBLANK(H124),"",ABS(H124-SUMIFS($H$2:$H$205,$A$2:$A$205,$A124,$B$2:$B$205,$B124,$C$2:$C$205,100)))</f>
        <v>0.0420226830191837</v>
      </c>
      <c r="Y124" s="3" t="n">
        <f aca="false">IF(ISBLANK(I124),"",ABS(I124-SUMIFS($I$2:$I$205,$A$2:$A$205,$A124,$B$2:$B$205,$B124,$C$2:$C$205,100)))</f>
        <v>0.102375412670842</v>
      </c>
      <c r="Z124" s="3" t="n">
        <f aca="false">IF(ISBLANK(J124),"",ABS(J124-SUMIFS($J$2:$J$205,$A$2:$A$205,$A124,$B$2:$B$205,$B124,$C$2:$C$205,100)))</f>
        <v>0.0993472229399597</v>
      </c>
      <c r="AA124" s="3" t="n">
        <f aca="false">IF(ISBLANK(K124),"",ABS(K124-SUMIFS($K$2:$K$205,$A$2:$A$205,$A124,$B$2:$B$205,$B124,$C$2:$C$205,100)))</f>
        <v>0.107317562497656</v>
      </c>
      <c r="AB124" s="3" t="n">
        <f aca="false">IF(ISBLANK(L124),"",ABS(L124-SUMIFS($L$2:$L$205,$A$2:$A$205,$A124,$B$2:$B$205,$B124,$C$2:$C$205,100)))</f>
        <v>0.0121057975816448</v>
      </c>
      <c r="AC124" s="3" t="n">
        <f aca="false">IF(ISBLANK(M124),"",ABS(M124-SUMIFS($M$2:$M$205,$A$2:$A$205,$A124,$B$2:$B$205,$B124,$C$2:$C$205,100)))</f>
        <v>0.0169041260713751</v>
      </c>
      <c r="AD124" s="3" t="n">
        <f aca="false">IF(ISBLANK(N124),"",ABS(N124-SUMIFS($N$2:$N$205,$A$2:$A$205,$A124,$B$2:$B$205,$B124,$C$2:$C$205,100)))</f>
        <v>0.0308755281380859</v>
      </c>
      <c r="AE124" s="3" t="n">
        <f aca="false">IF(ISBLANK(O124),"",ABS(O124-SUMIFS($O$2:$O$205,$A$2:$A$205,$A124,$B$2:$B$205,$B124,$C$2:$C$205,100)))</f>
        <v>0.0200011658908836</v>
      </c>
      <c r="AF124" s="3" t="str">
        <f aca="false">IF(ISBLANK(P124),"",ABS(P124-SUMIFS($P$2:$P$205,$A$2:$A$205,$A124,$B$2:$B$205,$B124,$C$2:$C$205,100)))</f>
        <v/>
      </c>
      <c r="AG124" s="3" t="str">
        <f aca="false">IF(ISBLANK(Q124),"",ABS(Q124-SUMIFS($Q$2:$Q$205,$A$2:$A$205,$A124,$B$2:$B$205,$B124,$C$2:$C$205,100)))</f>
        <v/>
      </c>
      <c r="AH124" s="3" t="str">
        <f aca="false">IF(ISBLANK(R124),"",ABS(R124-SUMIFS($R$2:$R$205,$A$2:$A$205,$A124,$B$2:$B$205,$B124,$C$2:$C$205,100)))</f>
        <v/>
      </c>
      <c r="AI124" s="3" t="str">
        <f aca="false">IF(ISBLANK(S124),"",ABS(S124-SUMIFS($S$2:$S$205,$A$2:$A$205,$A124,$B$2:$B$205,$B124,$C$2:$C$205,100)))</f>
        <v/>
      </c>
      <c r="AJ124" s="3" t="n">
        <f aca="false">MAX(V124:AI124)</f>
        <v>0.107317562497656</v>
      </c>
    </row>
    <row r="125" customFormat="false" ht="15" hidden="false" customHeight="false" outlineLevel="0" collapsed="false">
      <c r="A125" s="2" t="s">
        <v>44</v>
      </c>
      <c r="B125" s="2" t="s">
        <v>37</v>
      </c>
      <c r="C125" s="2" t="n">
        <v>10</v>
      </c>
      <c r="D125" s="3" t="n">
        <v>-3977.59068681193</v>
      </c>
      <c r="E125" s="3" t="n">
        <v>-2.86811106971166</v>
      </c>
      <c r="F125" s="3" t="n">
        <v>-710.399600799314</v>
      </c>
      <c r="G125" s="3" t="n">
        <v>-98.74762841131</v>
      </c>
      <c r="H125" s="3" t="n">
        <v>-90.9192429390342</v>
      </c>
      <c r="I125" s="3" t="n">
        <v>-16.8713723870533</v>
      </c>
      <c r="J125" s="3" t="n">
        <v>-13.858428403502</v>
      </c>
      <c r="K125" s="3" t="n">
        <v>-8.35608707396232</v>
      </c>
      <c r="L125" s="3" t="n">
        <v>-2.2806732471471</v>
      </c>
      <c r="M125" s="3" t="n">
        <v>-1.42988922028294</v>
      </c>
      <c r="N125" s="3" t="n">
        <v>-0.198885850027383</v>
      </c>
      <c r="O125" s="3" t="n">
        <v>-0.2213707714186</v>
      </c>
      <c r="P125" s="3"/>
      <c r="Q125" s="3"/>
      <c r="R125" s="3"/>
      <c r="S125" s="3"/>
      <c r="T125" s="3" t="n">
        <f aca="false">ABS(D125-SUMIFS($D$2:$D$205,$A$2:$A$205,$A125,$B$2:$B$205,$B125,$C$2:$C$205,100))</f>
        <v>0.00703900948883529</v>
      </c>
      <c r="U125" s="3" t="n">
        <f aca="false">ABS(E125-SUMIFS($E$2:$E$205,$A$2:$A$205,$A125,$B$2:$B$205,$B125,$C$2:$C$205,100))</f>
        <v>0.00664928130756515</v>
      </c>
      <c r="V125" s="3" t="n">
        <f aca="false">IF(ISBLANK(F125),"",ABS(F125-SUMIFS($F$2:$F$205,$A$2:$A$205,$A125,$B$2:$B$205,$B125,$C$2:$C$205,100)))</f>
        <v>0.001732146335371</v>
      </c>
      <c r="W125" s="3" t="n">
        <f aca="false">IF(ISBLANK(G125),"",ABS(G125-SUMIFS($G$2:$G$205,$A$2:$A$205,$A125,$B$2:$B$205,$B125,$C$2:$C$205,100)))</f>
        <v>0.00916187727554529</v>
      </c>
      <c r="X125" s="3" t="n">
        <f aca="false">IF(ISBLANK(H125),"",ABS(H125-SUMIFS($H$2:$H$205,$A$2:$A$205,$A125,$B$2:$B$205,$B125,$C$2:$C$205,100)))</f>
        <v>0.00693920410265037</v>
      </c>
      <c r="Y125" s="3" t="n">
        <f aca="false">IF(ISBLANK(I125),"",ABS(I125-SUMIFS($I$2:$I$205,$A$2:$A$205,$A125,$B$2:$B$205,$B125,$C$2:$C$205,100)))</f>
        <v>0.00635479880769196</v>
      </c>
      <c r="Z125" s="3" t="n">
        <f aca="false">IF(ISBLANK(J125),"",ABS(J125-SUMIFS($J$2:$J$205,$A$2:$A$205,$A125,$B$2:$B$205,$B125,$C$2:$C$205,100)))</f>
        <v>0.00660997439850952</v>
      </c>
      <c r="AA125" s="3" t="n">
        <f aca="false">IF(ISBLANK(K125),"",ABS(K125-SUMIFS($K$2:$K$205,$A$2:$A$205,$A125,$B$2:$B$205,$B125,$C$2:$C$205,100)))</f>
        <v>0.00828072511571243</v>
      </c>
      <c r="AB125" s="3" t="n">
        <f aca="false">IF(ISBLANK(L125),"",ABS(L125-SUMIFS($L$2:$L$205,$A$2:$A$205,$A125,$B$2:$B$205,$B125,$C$2:$C$205,100)))</f>
        <v>0.0163098236906989</v>
      </c>
      <c r="AC125" s="3" t="n">
        <f aca="false">IF(ISBLANK(M125),"",ABS(M125-SUMIFS($M$2:$M$205,$A$2:$A$205,$A125,$B$2:$B$205,$B125,$C$2:$C$205,100)))</f>
        <v>0.0172712596086451</v>
      </c>
      <c r="AD125" s="3" t="n">
        <f aca="false">IF(ISBLANK(N125),"",ABS(N125-SUMIFS($N$2:$N$205,$A$2:$A$205,$A125,$B$2:$B$205,$B125,$C$2:$C$205,100)))</f>
        <v>0.0192227297792892</v>
      </c>
      <c r="AE125" s="3" t="n">
        <f aca="false">IF(ISBLANK(O125),"",ABS(O125-SUMIFS($O$2:$O$205,$A$2:$A$205,$A125,$B$2:$B$205,$B125,$C$2:$C$205,100)))</f>
        <v>0.0146798551483006</v>
      </c>
      <c r="AF125" s="3" t="str">
        <f aca="false">IF(ISBLANK(P125),"",ABS(P125-SUMIFS($P$2:$P$205,$A$2:$A$205,$A125,$B$2:$B$205,$B125,$C$2:$C$205,100)))</f>
        <v/>
      </c>
      <c r="AG125" s="3" t="str">
        <f aca="false">IF(ISBLANK(Q125),"",ABS(Q125-SUMIFS($Q$2:$Q$205,$A$2:$A$205,$A125,$B$2:$B$205,$B125,$C$2:$C$205,100)))</f>
        <v/>
      </c>
      <c r="AH125" s="3" t="str">
        <f aca="false">IF(ISBLANK(R125),"",ABS(R125-SUMIFS($R$2:$R$205,$A$2:$A$205,$A125,$B$2:$B$205,$B125,$C$2:$C$205,100)))</f>
        <v/>
      </c>
      <c r="AI125" s="3" t="str">
        <f aca="false">IF(ISBLANK(S125),"",ABS(S125-SUMIFS($S$2:$S$205,$A$2:$A$205,$A125,$B$2:$B$205,$B125,$C$2:$C$205,100)))</f>
        <v/>
      </c>
      <c r="AJ125" s="3" t="n">
        <f aca="false">MAX(V125:AI125)</f>
        <v>0.0192227297792892</v>
      </c>
    </row>
    <row r="126" customFormat="false" ht="15" hidden="false" customHeight="false" outlineLevel="0" collapsed="false">
      <c r="A126" s="2" t="s">
        <v>44</v>
      </c>
      <c r="B126" s="2" t="s">
        <v>37</v>
      </c>
      <c r="C126" s="2" t="n">
        <v>15</v>
      </c>
      <c r="D126" s="3" t="n">
        <v>-3977.5848514394</v>
      </c>
      <c r="E126" s="3" t="n">
        <v>-2.86245312102441</v>
      </c>
      <c r="F126" s="3" t="n">
        <v>-710.403468590358</v>
      </c>
      <c r="G126" s="3" t="n">
        <v>-98.7449358523701</v>
      </c>
      <c r="H126" s="3" t="n">
        <v>-90.9189091325283</v>
      </c>
      <c r="I126" s="3" t="n">
        <v>-16.8715196285376</v>
      </c>
      <c r="J126" s="3" t="n">
        <v>-13.85836327531</v>
      </c>
      <c r="K126" s="3" t="n">
        <v>-8.35440342909853</v>
      </c>
      <c r="L126" s="3" t="n">
        <v>-2.2729317549094</v>
      </c>
      <c r="M126" s="3" t="n">
        <v>-1.42142460142746</v>
      </c>
      <c r="N126" s="3" t="n">
        <v>-0.188724929378504</v>
      </c>
      <c r="O126" s="3" t="n">
        <v>-0.21460810952076</v>
      </c>
      <c r="P126" s="3"/>
      <c r="Q126" s="3"/>
      <c r="R126" s="3"/>
      <c r="S126" s="3"/>
      <c r="T126" s="3" t="n">
        <f aca="false">ABS(D126-SUMIFS($D$2:$D$205,$A$2:$A$205,$A126,$B$2:$B$205,$B126,$C$2:$C$205,100))</f>
        <v>0.00120363696169079</v>
      </c>
      <c r="U126" s="3" t="n">
        <f aca="false">ABS(E126-SUMIFS($E$2:$E$205,$A$2:$A$205,$A126,$B$2:$B$205,$B126,$C$2:$C$205,100))</f>
        <v>0.000991332620312146</v>
      </c>
      <c r="V126" s="3" t="n">
        <f aca="false">IF(ISBLANK(F126),"",ABS(F126-SUMIFS($F$2:$F$205,$A$2:$A$205,$A126,$B$2:$B$205,$B126,$C$2:$C$205,100)))</f>
        <v>0.00559993737942932</v>
      </c>
      <c r="W126" s="3" t="n">
        <f aca="false">IF(ISBLANK(G126),"",ABS(G126-SUMIFS($G$2:$G$205,$A$2:$A$205,$A126,$B$2:$B$205,$B126,$C$2:$C$205,100)))</f>
        <v>0.00646931833563258</v>
      </c>
      <c r="X126" s="3" t="n">
        <f aca="false">IF(ISBLANK(H126),"",ABS(H126-SUMIFS($H$2:$H$205,$A$2:$A$205,$A126,$B$2:$B$205,$B126,$C$2:$C$205,100)))</f>
        <v>0.00660539759675771</v>
      </c>
      <c r="Y126" s="3" t="n">
        <f aca="false">IF(ISBLANK(I126),"",ABS(I126-SUMIFS($I$2:$I$205,$A$2:$A$205,$A126,$B$2:$B$205,$B126,$C$2:$C$205,100)))</f>
        <v>0.00650204029199131</v>
      </c>
      <c r="Z126" s="3" t="n">
        <f aca="false">IF(ISBLANK(J126),"",ABS(J126-SUMIFS($J$2:$J$205,$A$2:$A$205,$A126,$B$2:$B$205,$B126,$C$2:$C$205,100)))</f>
        <v>0.00654484620650919</v>
      </c>
      <c r="AA126" s="3" t="n">
        <f aca="false">IF(ISBLANK(K126),"",ABS(K126-SUMIFS($K$2:$K$205,$A$2:$A$205,$A126,$B$2:$B$205,$B126,$C$2:$C$205,100)))</f>
        <v>0.00659708025191463</v>
      </c>
      <c r="AB126" s="3" t="n">
        <f aca="false">IF(ISBLANK(L126),"",ABS(L126-SUMIFS($L$2:$L$205,$A$2:$A$205,$A126,$B$2:$B$205,$B126,$C$2:$C$205,100)))</f>
        <v>0.00856833145300406</v>
      </c>
      <c r="AC126" s="3" t="n">
        <f aca="false">IF(ISBLANK(M126),"",ABS(M126-SUMIFS($M$2:$M$205,$A$2:$A$205,$A126,$B$2:$B$205,$B126,$C$2:$C$205,100)))</f>
        <v>0.00880664075316506</v>
      </c>
      <c r="AD126" s="3" t="n">
        <f aca="false">IF(ISBLANK(N126),"",ABS(N126-SUMIFS($N$2:$N$205,$A$2:$A$205,$A126,$B$2:$B$205,$B126,$C$2:$C$205,100)))</f>
        <v>0.00906180913041052</v>
      </c>
      <c r="AE126" s="3" t="n">
        <f aca="false">IF(ISBLANK(O126),"",ABS(O126-SUMIFS($O$2:$O$205,$A$2:$A$205,$A126,$B$2:$B$205,$B126,$C$2:$C$205,100)))</f>
        <v>0.0079171932504605</v>
      </c>
      <c r="AF126" s="3" t="str">
        <f aca="false">IF(ISBLANK(P126),"",ABS(P126-SUMIFS($P$2:$P$205,$A$2:$A$205,$A126,$B$2:$B$205,$B126,$C$2:$C$205,100)))</f>
        <v/>
      </c>
      <c r="AG126" s="3" t="str">
        <f aca="false">IF(ISBLANK(Q126),"",ABS(Q126-SUMIFS($Q$2:$Q$205,$A$2:$A$205,$A126,$B$2:$B$205,$B126,$C$2:$C$205,100)))</f>
        <v/>
      </c>
      <c r="AH126" s="3" t="str">
        <f aca="false">IF(ISBLANK(R126),"",ABS(R126-SUMIFS($R$2:$R$205,$A$2:$A$205,$A126,$B$2:$B$205,$B126,$C$2:$C$205,100)))</f>
        <v/>
      </c>
      <c r="AI126" s="3" t="str">
        <f aca="false">IF(ISBLANK(S126),"",ABS(S126-SUMIFS($S$2:$S$205,$A$2:$A$205,$A126,$B$2:$B$205,$B126,$C$2:$C$205,100)))</f>
        <v/>
      </c>
      <c r="AJ126" s="3" t="n">
        <f aca="false">MAX(V126:AI126)</f>
        <v>0.00906180913041052</v>
      </c>
    </row>
    <row r="127" customFormat="false" ht="15" hidden="false" customHeight="false" outlineLevel="0" collapsed="false">
      <c r="A127" s="2" t="s">
        <v>44</v>
      </c>
      <c r="B127" s="2" t="s">
        <v>37</v>
      </c>
      <c r="C127" s="2" t="n">
        <v>20</v>
      </c>
      <c r="D127" s="3" t="n">
        <v>-3977.58371014392</v>
      </c>
      <c r="E127" s="3" t="n">
        <v>-2.86144930480041</v>
      </c>
      <c r="F127" s="3" t="n">
        <v>-710.400783209293</v>
      </c>
      <c r="G127" s="3" t="n">
        <v>-98.7413350393156</v>
      </c>
      <c r="H127" s="3" t="n">
        <v>-90.9152345096978</v>
      </c>
      <c r="I127" s="3" t="n">
        <v>-16.867898090993</v>
      </c>
      <c r="J127" s="3" t="n">
        <v>-13.8547046933139</v>
      </c>
      <c r="K127" s="3" t="n">
        <v>-8.35067603245355</v>
      </c>
      <c r="L127" s="3" t="n">
        <v>-2.26721216158958</v>
      </c>
      <c r="M127" s="3" t="n">
        <v>-1.41551966277717</v>
      </c>
      <c r="N127" s="3" t="n">
        <v>-0.182616690128409</v>
      </c>
      <c r="O127" s="3" t="n">
        <v>-0.209400112968148</v>
      </c>
      <c r="P127" s="3"/>
      <c r="Q127" s="3"/>
      <c r="R127" s="3"/>
      <c r="S127" s="3"/>
      <c r="T127" s="3" t="n">
        <f aca="false">ABS(D127-SUMIFS($D$2:$D$205,$A$2:$A$205,$A127,$B$2:$B$205,$B127,$C$2:$C$205,100))</f>
        <v>6.23414780420717E-005</v>
      </c>
      <c r="U127" s="3" t="n">
        <f aca="false">ABS(E127-SUMIFS($E$2:$E$205,$A$2:$A$205,$A127,$B$2:$B$205,$B127,$C$2:$C$205,100))</f>
        <v>1.24836036849985E-005</v>
      </c>
      <c r="V127" s="3" t="n">
        <f aca="false">IF(ISBLANK(F127),"",ABS(F127-SUMIFS($F$2:$F$205,$A$2:$A$205,$A127,$B$2:$B$205,$B127,$C$2:$C$205,100)))</f>
        <v>0.00291455631486315</v>
      </c>
      <c r="W127" s="3" t="n">
        <f aca="false">IF(ISBLANK(G127),"",ABS(G127-SUMIFS($G$2:$G$205,$A$2:$A$205,$A127,$B$2:$B$205,$B127,$C$2:$C$205,100)))</f>
        <v>0.00286850528107152</v>
      </c>
      <c r="X127" s="3" t="n">
        <f aca="false">IF(ISBLANK(H127),"",ABS(H127-SUMIFS($H$2:$H$205,$A$2:$A$205,$A127,$B$2:$B$205,$B127,$C$2:$C$205,100)))</f>
        <v>0.00293077476629833</v>
      </c>
      <c r="Y127" s="3" t="n">
        <f aca="false">IF(ISBLANK(I127),"",ABS(I127-SUMIFS($I$2:$I$205,$A$2:$A$205,$A127,$B$2:$B$205,$B127,$C$2:$C$205,100)))</f>
        <v>0.00288050274740925</v>
      </c>
      <c r="Z127" s="3" t="n">
        <f aca="false">IF(ISBLANK(J127),"",ABS(J127-SUMIFS($J$2:$J$205,$A$2:$A$205,$A127,$B$2:$B$205,$B127,$C$2:$C$205,100)))</f>
        <v>0.00288626421033911</v>
      </c>
      <c r="AA127" s="3" t="n">
        <f aca="false">IF(ISBLANK(K127),"",ABS(K127-SUMIFS($K$2:$K$205,$A$2:$A$205,$A127,$B$2:$B$205,$B127,$C$2:$C$205,100)))</f>
        <v>0.00286968360693862</v>
      </c>
      <c r="AB127" s="3" t="n">
        <f aca="false">IF(ISBLANK(L127),"",ABS(L127-SUMIFS($L$2:$L$205,$A$2:$A$205,$A127,$B$2:$B$205,$B127,$C$2:$C$205,100)))</f>
        <v>0.00284873813318187</v>
      </c>
      <c r="AC127" s="3" t="n">
        <f aca="false">IF(ISBLANK(M127),"",ABS(M127-SUMIFS($M$2:$M$205,$A$2:$A$205,$A127,$B$2:$B$205,$B127,$C$2:$C$205,100)))</f>
        <v>0.0029017021028761</v>
      </c>
      <c r="AD127" s="3" t="n">
        <f aca="false">IF(ISBLANK(N127),"",ABS(N127-SUMIFS($N$2:$N$205,$A$2:$A$205,$A127,$B$2:$B$205,$B127,$C$2:$C$205,100)))</f>
        <v>0.00295356988031462</v>
      </c>
      <c r="AE127" s="3" t="n">
        <f aca="false">IF(ISBLANK(O127),"",ABS(O127-SUMIFS($O$2:$O$205,$A$2:$A$205,$A127,$B$2:$B$205,$B127,$C$2:$C$205,100)))</f>
        <v>0.00270919669784889</v>
      </c>
      <c r="AF127" s="3" t="str">
        <f aca="false">IF(ISBLANK(P127),"",ABS(P127-SUMIFS($P$2:$P$205,$A$2:$A$205,$A127,$B$2:$B$205,$B127,$C$2:$C$205,100)))</f>
        <v/>
      </c>
      <c r="AG127" s="3" t="str">
        <f aca="false">IF(ISBLANK(Q127),"",ABS(Q127-SUMIFS($Q$2:$Q$205,$A$2:$A$205,$A127,$B$2:$B$205,$B127,$C$2:$C$205,100)))</f>
        <v/>
      </c>
      <c r="AH127" s="3" t="str">
        <f aca="false">IF(ISBLANK(R127),"",ABS(R127-SUMIFS($R$2:$R$205,$A$2:$A$205,$A127,$B$2:$B$205,$B127,$C$2:$C$205,100)))</f>
        <v/>
      </c>
      <c r="AI127" s="3" t="str">
        <f aca="false">IF(ISBLANK(S127),"",ABS(S127-SUMIFS($S$2:$S$205,$A$2:$A$205,$A127,$B$2:$B$205,$B127,$C$2:$C$205,100)))</f>
        <v/>
      </c>
      <c r="AJ127" s="3" t="n">
        <f aca="false">MAX(V127:AI127)</f>
        <v>0.00295356988031462</v>
      </c>
    </row>
    <row r="128" customFormat="false" ht="15" hidden="false" customHeight="false" outlineLevel="0" collapsed="false">
      <c r="A128" s="2" t="s">
        <v>44</v>
      </c>
      <c r="B128" s="2" t="s">
        <v>37</v>
      </c>
      <c r="C128" s="2" t="n">
        <v>30</v>
      </c>
      <c r="D128" s="3" t="n">
        <v>-3977.58364502427</v>
      </c>
      <c r="E128" s="3" t="n">
        <v>-2.86145729011463</v>
      </c>
      <c r="F128" s="3" t="n">
        <v>-710.397954723431</v>
      </c>
      <c r="G128" s="3" t="n">
        <v>-98.7385548680391</v>
      </c>
      <c r="H128" s="3" t="n">
        <v>-90.9123925359471</v>
      </c>
      <c r="I128" s="3" t="n">
        <v>-16.8651055010582</v>
      </c>
      <c r="J128" s="3" t="n">
        <v>-13.8519065373977</v>
      </c>
      <c r="K128" s="3" t="n">
        <v>-8.34789470084492</v>
      </c>
      <c r="L128" s="3" t="n">
        <v>-2.2644572133194</v>
      </c>
      <c r="M128" s="3" t="n">
        <v>-1.41271329603307</v>
      </c>
      <c r="N128" s="3" t="n">
        <v>-0.179761123338617</v>
      </c>
      <c r="O128" s="3" t="n">
        <v>-0.206782076671433</v>
      </c>
      <c r="P128" s="3"/>
      <c r="Q128" s="3"/>
      <c r="R128" s="3"/>
      <c r="S128" s="3"/>
      <c r="T128" s="3" t="n">
        <f aca="false">ABS(D128-SUMIFS($D$2:$D$205,$A$2:$A$205,$A128,$B$2:$B$205,$B128,$C$2:$C$205,100))</f>
        <v>2.77817207461339E-006</v>
      </c>
      <c r="U128" s="3" t="n">
        <f aca="false">ABS(E128-SUMIFS($E$2:$E$205,$A$2:$A$205,$A128,$B$2:$B$205,$B128,$C$2:$C$205,100))</f>
        <v>4.49828946003095E-006</v>
      </c>
      <c r="V128" s="3" t="n">
        <f aca="false">IF(ISBLANK(F128),"",ABS(F128-SUMIFS($F$2:$F$205,$A$2:$A$205,$A128,$B$2:$B$205,$B128,$C$2:$C$205,100)))</f>
        <v>8.60704526530753E-005</v>
      </c>
      <c r="W128" s="3" t="n">
        <f aca="false">IF(ISBLANK(G128),"",ABS(G128-SUMIFS($G$2:$G$205,$A$2:$A$205,$A128,$B$2:$B$205,$B128,$C$2:$C$205,100)))</f>
        <v>8.83340045731984E-005</v>
      </c>
      <c r="X128" s="3" t="n">
        <f aca="false">IF(ISBLANK(H128),"",ABS(H128-SUMIFS($H$2:$H$205,$A$2:$A$205,$A128,$B$2:$B$205,$B128,$C$2:$C$205,100)))</f>
        <v>8.88010155790653E-005</v>
      </c>
      <c r="Y128" s="3" t="n">
        <f aca="false">IF(ISBLANK(I128),"",ABS(I128-SUMIFS($I$2:$I$205,$A$2:$A$205,$A128,$B$2:$B$205,$B128,$C$2:$C$205,100)))</f>
        <v>8.79128125710338E-005</v>
      </c>
      <c r="Z128" s="3" t="n">
        <f aca="false">IF(ISBLANK(J128),"",ABS(J128-SUMIFS($J$2:$J$205,$A$2:$A$205,$A128,$B$2:$B$205,$B128,$C$2:$C$205,100)))</f>
        <v>8.81082942001399E-005</v>
      </c>
      <c r="AA128" s="3" t="n">
        <f aca="false">IF(ISBLANK(K128),"",ABS(K128-SUMIFS($K$2:$K$205,$A$2:$A$205,$A128,$B$2:$B$205,$B128,$C$2:$C$205,100)))</f>
        <v>8.83519983077008E-005</v>
      </c>
      <c r="AB128" s="3" t="n">
        <f aca="false">IF(ISBLANK(L128),"",ABS(L128-SUMIFS($L$2:$L$205,$A$2:$A$205,$A128,$B$2:$B$205,$B128,$C$2:$C$205,100)))</f>
        <v>9.3789863007121E-005</v>
      </c>
      <c r="AC128" s="3" t="n">
        <f aca="false">IF(ISBLANK(M128),"",ABS(M128-SUMIFS($M$2:$M$205,$A$2:$A$205,$A128,$B$2:$B$205,$B128,$C$2:$C$205,100)))</f>
        <v>9.53353587751504E-005</v>
      </c>
      <c r="AD128" s="3" t="n">
        <f aca="false">IF(ISBLANK(N128),"",ABS(N128-SUMIFS($N$2:$N$205,$A$2:$A$205,$A128,$B$2:$B$205,$B128,$C$2:$C$205,100)))</f>
        <v>9.80030905233242E-005</v>
      </c>
      <c r="AE128" s="3" t="n">
        <f aca="false">IF(ISBLANK(O128),"",ABS(O128-SUMIFS($O$2:$O$205,$A$2:$A$205,$A128,$B$2:$B$205,$B128,$C$2:$C$205,100)))</f>
        <v>9.11604011338829E-005</v>
      </c>
      <c r="AF128" s="3" t="str">
        <f aca="false">IF(ISBLANK(P128),"",ABS(P128-SUMIFS($P$2:$P$205,$A$2:$A$205,$A128,$B$2:$B$205,$B128,$C$2:$C$205,100)))</f>
        <v/>
      </c>
      <c r="AG128" s="3" t="str">
        <f aca="false">IF(ISBLANK(Q128),"",ABS(Q128-SUMIFS($Q$2:$Q$205,$A$2:$A$205,$A128,$B$2:$B$205,$B128,$C$2:$C$205,100)))</f>
        <v/>
      </c>
      <c r="AH128" s="3" t="str">
        <f aca="false">IF(ISBLANK(R128),"",ABS(R128-SUMIFS($R$2:$R$205,$A$2:$A$205,$A128,$B$2:$B$205,$B128,$C$2:$C$205,100)))</f>
        <v/>
      </c>
      <c r="AI128" s="3" t="str">
        <f aca="false">IF(ISBLANK(S128),"",ABS(S128-SUMIFS($S$2:$S$205,$A$2:$A$205,$A128,$B$2:$B$205,$B128,$C$2:$C$205,100)))</f>
        <v/>
      </c>
      <c r="AJ128" s="3" t="n">
        <f aca="false">MAX(V128:AI128)</f>
        <v>9.80030905233242E-005</v>
      </c>
    </row>
    <row r="129" customFormat="false" ht="15" hidden="false" customHeight="false" outlineLevel="0" collapsed="false">
      <c r="A129" s="2" t="s">
        <v>44</v>
      </c>
      <c r="B129" s="2" t="s">
        <v>37</v>
      </c>
      <c r="C129" s="2" t="n">
        <v>50</v>
      </c>
      <c r="D129" s="3" t="n">
        <v>-3977.58364780238</v>
      </c>
      <c r="E129" s="3" t="n">
        <v>-2.86146178772796</v>
      </c>
      <c r="F129" s="3" t="n">
        <v>-710.397868693032</v>
      </c>
      <c r="G129" s="3" t="n">
        <v>-98.7384665743857</v>
      </c>
      <c r="H129" s="3" t="n">
        <v>-90.9123037751663</v>
      </c>
      <c r="I129" s="3" t="n">
        <v>-16.865017628597</v>
      </c>
      <c r="J129" s="3" t="n">
        <v>-13.8518184693383</v>
      </c>
      <c r="K129" s="3" t="n">
        <v>-8.34780638997367</v>
      </c>
      <c r="L129" s="3" t="n">
        <v>-2.26436346558727</v>
      </c>
      <c r="M129" s="3" t="n">
        <v>-1.41261800326543</v>
      </c>
      <c r="N129" s="3" t="n">
        <v>-0.179663164357565</v>
      </c>
      <c r="O129" s="3" t="n">
        <v>-0.206690957214862</v>
      </c>
      <c r="P129" s="3"/>
      <c r="Q129" s="3"/>
      <c r="R129" s="3"/>
      <c r="S129" s="3"/>
      <c r="T129" s="3" t="n">
        <f aca="false">ABS(D129-SUMIFS($D$2:$D$205,$A$2:$A$205,$A129,$B$2:$B$205,$B129,$C$2:$C$205,100))</f>
        <v>6.41193764749914E-011</v>
      </c>
      <c r="U129" s="3" t="n">
        <f aca="false">ABS(E129-SUMIFS($E$2:$E$205,$A$2:$A$205,$A129,$B$2:$B$205,$B129,$C$2:$C$205,100))</f>
        <v>6.76129818799609E-010</v>
      </c>
      <c r="V129" s="3" t="n">
        <f aca="false">IF(ISBLANK(F129),"",ABS(F129-SUMIFS($F$2:$F$205,$A$2:$A$205,$A129,$B$2:$B$205,$B129,$C$2:$C$205,100)))</f>
        <v>4.0053237171378E-008</v>
      </c>
      <c r="W129" s="3" t="n">
        <f aca="false">IF(ISBLANK(G129),"",ABS(G129-SUMIFS($G$2:$G$205,$A$2:$A$205,$A129,$B$2:$B$205,$B129,$C$2:$C$205,100)))</f>
        <v>4.03511961621916E-008</v>
      </c>
      <c r="X129" s="3" t="n">
        <f aca="false">IF(ISBLANK(H129),"",ABS(H129-SUMIFS($H$2:$H$205,$A$2:$A$205,$A129,$B$2:$B$205,$B129,$C$2:$C$205,100)))</f>
        <v>4.02347097860911E-008</v>
      </c>
      <c r="Y129" s="3" t="n">
        <f aca="false">IF(ISBLANK(I129),"",ABS(I129-SUMIFS($I$2:$I$205,$A$2:$A$205,$A129,$B$2:$B$205,$B129,$C$2:$C$205,100)))</f>
        <v>4.03513702451619E-008</v>
      </c>
      <c r="Z129" s="3" t="n">
        <f aca="false">IF(ISBLANK(J129),"",ABS(J129-SUMIFS($J$2:$J$205,$A$2:$A$205,$A129,$B$2:$B$205,$B129,$C$2:$C$205,100)))</f>
        <v>4.02347399841574E-008</v>
      </c>
      <c r="AA129" s="3" t="n">
        <f aca="false">IF(ISBLANK(K129),"",ABS(K129-SUMIFS($K$2:$K$205,$A$2:$A$205,$A129,$B$2:$B$205,$B129,$C$2:$C$205,100)))</f>
        <v>4.11270590916502E-008</v>
      </c>
      <c r="AB129" s="3" t="n">
        <f aca="false">IF(ISBLANK(L129),"",ABS(L129-SUMIFS($L$2:$L$205,$A$2:$A$205,$A129,$B$2:$B$205,$B129,$C$2:$C$205,100)))</f>
        <v>4.21308730125247E-008</v>
      </c>
      <c r="AC129" s="3" t="n">
        <f aca="false">IF(ISBLANK(M129),"",ABS(M129-SUMIFS($M$2:$M$205,$A$2:$A$205,$A129,$B$2:$B$205,$B129,$C$2:$C$205,100)))</f>
        <v>4.25911410584234E-008</v>
      </c>
      <c r="AD129" s="3" t="n">
        <f aca="false">IF(ISBLANK(N129),"",ABS(N129-SUMIFS($N$2:$N$205,$A$2:$A$205,$A129,$B$2:$B$205,$B129,$C$2:$C$205,100)))</f>
        <v>4.41094710201817E-008</v>
      </c>
      <c r="AE129" s="3" t="n">
        <f aca="false">IF(ISBLANK(O129),"",ABS(O129-SUMIFS($O$2:$O$205,$A$2:$A$205,$A129,$B$2:$B$205,$B129,$C$2:$C$205,100)))</f>
        <v>4.09445624904858E-008</v>
      </c>
      <c r="AF129" s="3" t="str">
        <f aca="false">IF(ISBLANK(P129),"",ABS(P129-SUMIFS($P$2:$P$205,$A$2:$A$205,$A129,$B$2:$B$205,$B129,$C$2:$C$205,100)))</f>
        <v/>
      </c>
      <c r="AG129" s="3" t="str">
        <f aca="false">IF(ISBLANK(Q129),"",ABS(Q129-SUMIFS($Q$2:$Q$205,$A$2:$A$205,$A129,$B$2:$B$205,$B129,$C$2:$C$205,100)))</f>
        <v/>
      </c>
      <c r="AH129" s="3" t="str">
        <f aca="false">IF(ISBLANK(R129),"",ABS(R129-SUMIFS($R$2:$R$205,$A$2:$A$205,$A129,$B$2:$B$205,$B129,$C$2:$C$205,100)))</f>
        <v/>
      </c>
      <c r="AI129" s="3" t="str">
        <f aca="false">IF(ISBLANK(S129),"",ABS(S129-SUMIFS($S$2:$S$205,$A$2:$A$205,$A129,$B$2:$B$205,$B129,$C$2:$C$205,100)))</f>
        <v/>
      </c>
      <c r="AJ129" s="3" t="n">
        <f aca="false">MAX(V129:AI129)</f>
        <v>4.41094710201817E-008</v>
      </c>
    </row>
    <row r="130" customFormat="false" ht="15" hidden="false" customHeight="false" outlineLevel="0" collapsed="false">
      <c r="A130" s="2" t="s">
        <v>44</v>
      </c>
      <c r="B130" s="2" t="s">
        <v>37</v>
      </c>
      <c r="C130" s="2" t="n">
        <v>80</v>
      </c>
      <c r="D130" s="3" t="n">
        <v>-3977.58364780246</v>
      </c>
      <c r="E130" s="3" t="n">
        <v>-2.86146178840497</v>
      </c>
      <c r="F130" s="3" t="n">
        <v>-710.39786865295</v>
      </c>
      <c r="G130" s="3" t="n">
        <v>-98.7384665340054</v>
      </c>
      <c r="H130" s="3" t="n">
        <v>-90.9123037349315</v>
      </c>
      <c r="I130" s="3" t="n">
        <v>-16.8650175885131</v>
      </c>
      <c r="J130" s="3" t="n">
        <v>-13.8518184291035</v>
      </c>
      <c r="K130" s="3" t="n">
        <v>-8.34780634884661</v>
      </c>
      <c r="L130" s="3" t="n">
        <v>-2.26436342342729</v>
      </c>
      <c r="M130" s="3" t="n">
        <v>-1.41261796067429</v>
      </c>
      <c r="N130" s="3" t="n">
        <v>-0.179663120248094</v>
      </c>
      <c r="O130" s="3" t="n">
        <v>-0.206690916241196</v>
      </c>
      <c r="P130" s="3"/>
      <c r="Q130" s="3"/>
      <c r="R130" s="3"/>
      <c r="S130" s="3"/>
      <c r="T130" s="3" t="n">
        <f aca="false">ABS(D130-SUMIFS($D$2:$D$205,$A$2:$A$205,$A130,$B$2:$B$205,$B130,$C$2:$C$205,100))</f>
        <v>0</v>
      </c>
      <c r="U130" s="3" t="n">
        <f aca="false">ABS(E130-SUMIFS($E$2:$E$205,$A$2:$A$205,$A130,$B$2:$B$205,$B130,$C$2:$C$205,100))</f>
        <v>8.75299832614473E-013</v>
      </c>
      <c r="V130" s="3" t="n">
        <f aca="false">IF(ISBLANK(F130),"",ABS(F130-SUMIFS($F$2:$F$205,$A$2:$A$205,$A130,$B$2:$B$205,$B130,$C$2:$C$205,100)))</f>
        <v>2.91038304567337E-011</v>
      </c>
      <c r="W130" s="3" t="n">
        <f aca="false">IF(ISBLANK(G130),"",ABS(G130-SUMIFS($G$2:$G$205,$A$2:$A$205,$A130,$B$2:$B$205,$B130,$C$2:$C$205,100)))</f>
        <v>2.91038304567337E-011</v>
      </c>
      <c r="X130" s="3" t="n">
        <f aca="false">IF(ISBLANK(H130),"",ABS(H130-SUMIFS($H$2:$H$205,$A$2:$A$205,$A130,$B$2:$B$205,$B130,$C$2:$C$205,100)))</f>
        <v>0</v>
      </c>
      <c r="Y130" s="3" t="n">
        <f aca="false">IF(ISBLANK(I130),"",ABS(I130-SUMIFS($I$2:$I$205,$A$2:$A$205,$A130,$B$2:$B$205,$B130,$C$2:$C$205,100)))</f>
        <v>2.67469602022175E-010</v>
      </c>
      <c r="Z130" s="3" t="n">
        <f aca="false">IF(ISBLANK(J130),"",ABS(J130-SUMIFS($J$2:$J$205,$A$2:$A$205,$A130,$B$2:$B$205,$B130,$C$2:$C$205,100)))</f>
        <v>0</v>
      </c>
      <c r="AA130" s="3" t="n">
        <f aca="false">IF(ISBLANK(K130),"",ABS(K130-SUMIFS($K$2:$K$205,$A$2:$A$205,$A130,$B$2:$B$205,$B130,$C$2:$C$205,100)))</f>
        <v>0</v>
      </c>
      <c r="AB130" s="3" t="n">
        <f aca="false">IF(ISBLANK(L130),"",ABS(L130-SUMIFS($L$2:$L$205,$A$2:$A$205,$A130,$B$2:$B$205,$B130,$C$2:$C$205,100)))</f>
        <v>2.91042745459436E-011</v>
      </c>
      <c r="AC130" s="3" t="n">
        <f aca="false">IF(ISBLANK(M130),"",ABS(M130-SUMIFS($M$2:$M$205,$A$2:$A$205,$A130,$B$2:$B$205,$B130,$C$2:$C$205,100)))</f>
        <v>0</v>
      </c>
      <c r="AD130" s="3" t="n">
        <f aca="false">IF(ISBLANK(N130),"",ABS(N130-SUMIFS($N$2:$N$205,$A$2:$A$205,$A130,$B$2:$B$205,$B130,$C$2:$C$205,100)))</f>
        <v>0</v>
      </c>
      <c r="AE130" s="3" t="n">
        <f aca="false">IF(ISBLANK(O130),"",ABS(O130-SUMIFS($O$2:$O$205,$A$2:$A$205,$A130,$B$2:$B$205,$B130,$C$2:$C$205,100)))</f>
        <v>2.91038027011581E-011</v>
      </c>
      <c r="AF130" s="3" t="str">
        <f aca="false">IF(ISBLANK(P130),"",ABS(P130-SUMIFS($P$2:$P$205,$A$2:$A$205,$A130,$B$2:$B$205,$B130,$C$2:$C$205,100)))</f>
        <v/>
      </c>
      <c r="AG130" s="3" t="str">
        <f aca="false">IF(ISBLANK(Q130),"",ABS(Q130-SUMIFS($Q$2:$Q$205,$A$2:$A$205,$A130,$B$2:$B$205,$B130,$C$2:$C$205,100)))</f>
        <v/>
      </c>
      <c r="AH130" s="3" t="str">
        <f aca="false">IF(ISBLANK(R130),"",ABS(R130-SUMIFS($R$2:$R$205,$A$2:$A$205,$A130,$B$2:$B$205,$B130,$C$2:$C$205,100)))</f>
        <v/>
      </c>
      <c r="AI130" s="3" t="str">
        <f aca="false">IF(ISBLANK(S130),"",ABS(S130-SUMIFS($S$2:$S$205,$A$2:$A$205,$A130,$B$2:$B$205,$B130,$C$2:$C$205,100)))</f>
        <v/>
      </c>
      <c r="AJ130" s="3" t="n">
        <f aca="false">MAX(V130:AI130)</f>
        <v>2.67469602022175E-010</v>
      </c>
    </row>
    <row r="131" customFormat="false" ht="15" hidden="false" customHeight="false" outlineLevel="0" collapsed="false">
      <c r="A131" s="4" t="s">
        <v>44</v>
      </c>
      <c r="B131" s="4" t="s">
        <v>37</v>
      </c>
      <c r="C131" s="4" t="n">
        <v>100</v>
      </c>
      <c r="D131" s="5" t="n">
        <v>-3977.58364780244</v>
      </c>
      <c r="E131" s="5" t="n">
        <v>-2.86146178840409</v>
      </c>
      <c r="F131" s="3" t="n">
        <v>-710.397868652979</v>
      </c>
      <c r="G131" s="3" t="n">
        <v>-98.7384665340345</v>
      </c>
      <c r="H131" s="3" t="n">
        <v>-90.9123037349315</v>
      </c>
      <c r="I131" s="3" t="n">
        <v>-16.8650175882456</v>
      </c>
      <c r="J131" s="3" t="n">
        <v>-13.8518184291035</v>
      </c>
      <c r="K131" s="3" t="n">
        <v>-8.34780634884661</v>
      </c>
      <c r="L131" s="3" t="n">
        <v>-2.2643634234564</v>
      </c>
      <c r="M131" s="3" t="n">
        <v>-1.41261796067429</v>
      </c>
      <c r="N131" s="3" t="n">
        <v>-0.179663120248094</v>
      </c>
      <c r="O131" s="3" t="n">
        <v>-0.2066909162703</v>
      </c>
      <c r="P131" s="3"/>
      <c r="Q131" s="3"/>
      <c r="R131" s="3"/>
      <c r="S131" s="3"/>
      <c r="T131" s="3" t="n">
        <f aca="false">ABS(D131-SUMIFS($D$2:$D$205,$A$2:$A$205,$A131,$B$2:$B$205,$B131,$C$2:$C$205,100))</f>
        <v>0</v>
      </c>
      <c r="U131" s="3" t="n">
        <f aca="false">ABS(E131-SUMIFS($E$2:$E$205,$A$2:$A$205,$A131,$B$2:$B$205,$B131,$C$2:$C$205,100))</f>
        <v>0</v>
      </c>
      <c r="V131" s="3" t="n">
        <f aca="false">IF(ISBLANK(F131),"",ABS(F131-SUMIFS($F$2:$F$205,$A$2:$A$205,$A131,$B$2:$B$205,$B131,$C$2:$C$205,100)))</f>
        <v>0</v>
      </c>
      <c r="W131" s="3" t="n">
        <f aca="false">IF(ISBLANK(G131),"",ABS(G131-SUMIFS($G$2:$G$205,$A$2:$A$205,$A131,$B$2:$B$205,$B131,$C$2:$C$205,100)))</f>
        <v>0</v>
      </c>
      <c r="X131" s="3" t="n">
        <f aca="false">IF(ISBLANK(H131),"",ABS(H131-SUMIFS($H$2:$H$205,$A$2:$A$205,$A131,$B$2:$B$205,$B131,$C$2:$C$205,100)))</f>
        <v>0</v>
      </c>
      <c r="Y131" s="3" t="n">
        <f aca="false">IF(ISBLANK(I131),"",ABS(I131-SUMIFS($I$2:$I$205,$A$2:$A$205,$A131,$B$2:$B$205,$B131,$C$2:$C$205,100)))</f>
        <v>0</v>
      </c>
      <c r="Z131" s="3" t="n">
        <f aca="false">IF(ISBLANK(J131),"",ABS(J131-SUMIFS($J$2:$J$205,$A$2:$A$205,$A131,$B$2:$B$205,$B131,$C$2:$C$205,100)))</f>
        <v>0</v>
      </c>
      <c r="AA131" s="3" t="n">
        <f aca="false">IF(ISBLANK(K131),"",ABS(K131-SUMIFS($K$2:$K$205,$A$2:$A$205,$A131,$B$2:$B$205,$B131,$C$2:$C$205,100)))</f>
        <v>0</v>
      </c>
      <c r="AB131" s="3" t="n">
        <f aca="false">IF(ISBLANK(L131),"",ABS(L131-SUMIFS($L$2:$L$205,$A$2:$A$205,$A131,$B$2:$B$205,$B131,$C$2:$C$205,100)))</f>
        <v>0</v>
      </c>
      <c r="AC131" s="3" t="n">
        <f aca="false">IF(ISBLANK(M131),"",ABS(M131-SUMIFS($M$2:$M$205,$A$2:$A$205,$A131,$B$2:$B$205,$B131,$C$2:$C$205,100)))</f>
        <v>0</v>
      </c>
      <c r="AD131" s="3" t="n">
        <f aca="false">IF(ISBLANK(N131),"",ABS(N131-SUMIFS($N$2:$N$205,$A$2:$A$205,$A131,$B$2:$B$205,$B131,$C$2:$C$205,100)))</f>
        <v>0</v>
      </c>
      <c r="AE131" s="3" t="n">
        <f aca="false">IF(ISBLANK(O131),"",ABS(O131-SUMIFS($O$2:$O$205,$A$2:$A$205,$A131,$B$2:$B$205,$B131,$C$2:$C$205,100)))</f>
        <v>0</v>
      </c>
      <c r="AF131" s="3" t="str">
        <f aca="false">IF(ISBLANK(P131),"",ABS(P131-SUMIFS($P$2:$P$205,$A$2:$A$205,$A131,$B$2:$B$205,$B131,$C$2:$C$205,100)))</f>
        <v/>
      </c>
      <c r="AG131" s="3" t="str">
        <f aca="false">IF(ISBLANK(Q131),"",ABS(Q131-SUMIFS($Q$2:$Q$205,$A$2:$A$205,$A131,$B$2:$B$205,$B131,$C$2:$C$205,100)))</f>
        <v/>
      </c>
      <c r="AH131" s="3" t="str">
        <f aca="false">IF(ISBLANK(R131),"",ABS(R131-SUMIFS($R$2:$R$205,$A$2:$A$205,$A131,$B$2:$B$205,$B131,$C$2:$C$205,100)))</f>
        <v/>
      </c>
      <c r="AI131" s="3" t="str">
        <f aca="false">IF(ISBLANK(S131),"",ABS(S131-SUMIFS($S$2:$S$205,$A$2:$A$205,$A131,$B$2:$B$205,$B131,$C$2:$C$205,100)))</f>
        <v/>
      </c>
      <c r="AJ131" s="3" t="n">
        <f aca="false">MAX(V131:AI131)</f>
        <v>0</v>
      </c>
    </row>
    <row r="132" customFormat="false" ht="15" hidden="false" customHeight="false" outlineLevel="0" collapsed="false">
      <c r="A132" s="2" t="s">
        <v>44</v>
      </c>
      <c r="B132" s="2" t="s">
        <v>37</v>
      </c>
      <c r="C132" s="2" t="n">
        <v>150</v>
      </c>
      <c r="D132" s="3" t="n">
        <v>-3977.58364780245</v>
      </c>
      <c r="E132" s="3" t="n">
        <v>-2.86146178840459</v>
      </c>
      <c r="F132" s="3" t="n">
        <v>-710.397868652979</v>
      </c>
      <c r="G132" s="3" t="n">
        <v>-98.7384665340345</v>
      </c>
      <c r="H132" s="3" t="n">
        <v>-90.9123037348366</v>
      </c>
      <c r="I132" s="3" t="n">
        <v>-16.8650175882456</v>
      </c>
      <c r="J132" s="3" t="n">
        <v>-13.8518184290086</v>
      </c>
      <c r="K132" s="3" t="n">
        <v>-8.34780634884661</v>
      </c>
      <c r="L132" s="3" t="n">
        <v>-2.2643634234564</v>
      </c>
      <c r="M132" s="3" t="n">
        <v>-1.41261796057936</v>
      </c>
      <c r="N132" s="3" t="n">
        <v>-0.179663120248094</v>
      </c>
      <c r="O132" s="3" t="n">
        <v>-0.2066909162703</v>
      </c>
      <c r="P132" s="3"/>
      <c r="Q132" s="3"/>
      <c r="R132" s="3"/>
      <c r="S132" s="3"/>
      <c r="T132" s="3" t="n">
        <f aca="false">ABS(D132-SUMIFS($D$2:$D$205,$A$2:$A$205,$A132,$B$2:$B$205,$B132,$C$2:$C$205,100))</f>
        <v>0</v>
      </c>
      <c r="U132" s="3" t="n">
        <f aca="false">ABS(E132-SUMIFS($E$2:$E$205,$A$2:$A$205,$A132,$B$2:$B$205,$B132,$C$2:$C$205,100))</f>
        <v>4.9826809345177E-013</v>
      </c>
      <c r="V132" s="3" t="n">
        <f aca="false">IF(ISBLANK(F132),"",ABS(F132-SUMIFS($F$2:$F$205,$A$2:$A$205,$A132,$B$2:$B$205,$B132,$C$2:$C$205,100)))</f>
        <v>0</v>
      </c>
      <c r="W132" s="3" t="n">
        <f aca="false">IF(ISBLANK(G132),"",ABS(G132-SUMIFS($G$2:$G$205,$A$2:$A$205,$A132,$B$2:$B$205,$B132,$C$2:$C$205,100)))</f>
        <v>0</v>
      </c>
      <c r="X132" s="3" t="n">
        <f aca="false">IF(ISBLANK(H132),"",ABS(H132-SUMIFS($H$2:$H$205,$A$2:$A$205,$A132,$B$2:$B$205,$B132,$C$2:$C$205,100)))</f>
        <v>9.49285094975494E-011</v>
      </c>
      <c r="Y132" s="3" t="n">
        <f aca="false">IF(ISBLANK(I132),"",ABS(I132-SUMIFS($I$2:$I$205,$A$2:$A$205,$A132,$B$2:$B$205,$B132,$C$2:$C$205,100)))</f>
        <v>0</v>
      </c>
      <c r="Z132" s="3" t="n">
        <f aca="false">IF(ISBLANK(J132),"",ABS(J132-SUMIFS($J$2:$J$205,$A$2:$A$205,$A132,$B$2:$B$205,$B132,$C$2:$C$205,100)))</f>
        <v>9.49409439954252E-011</v>
      </c>
      <c r="AA132" s="3" t="n">
        <f aca="false">IF(ISBLANK(K132),"",ABS(K132-SUMIFS($K$2:$K$205,$A$2:$A$205,$A132,$B$2:$B$205,$B132,$C$2:$C$205,100)))</f>
        <v>0</v>
      </c>
      <c r="AB132" s="3" t="n">
        <f aca="false">IF(ISBLANK(L132),"",ABS(L132-SUMIFS($L$2:$L$205,$A$2:$A$205,$A132,$B$2:$B$205,$B132,$C$2:$C$205,100)))</f>
        <v>0</v>
      </c>
      <c r="AC132" s="3" t="n">
        <f aca="false">IF(ISBLANK(M132),"",ABS(M132-SUMIFS($M$2:$M$205,$A$2:$A$205,$A132,$B$2:$B$205,$B132,$C$2:$C$205,100)))</f>
        <v>9.49349487910922E-011</v>
      </c>
      <c r="AD132" s="3" t="n">
        <f aca="false">IF(ISBLANK(N132),"",ABS(N132-SUMIFS($N$2:$N$205,$A$2:$A$205,$A132,$B$2:$B$205,$B132,$C$2:$C$205,100)))</f>
        <v>0</v>
      </c>
      <c r="AE132" s="3" t="n">
        <f aca="false">IF(ISBLANK(O132),"",ABS(O132-SUMIFS($O$2:$O$205,$A$2:$A$205,$A132,$B$2:$B$205,$B132,$C$2:$C$205,100)))</f>
        <v>0</v>
      </c>
      <c r="AF132" s="3" t="str">
        <f aca="false">IF(ISBLANK(P132),"",ABS(P132-SUMIFS($P$2:$P$205,$A$2:$A$205,$A132,$B$2:$B$205,$B132,$C$2:$C$205,100)))</f>
        <v/>
      </c>
      <c r="AG132" s="3" t="str">
        <f aca="false">IF(ISBLANK(Q132),"",ABS(Q132-SUMIFS($Q$2:$Q$205,$A$2:$A$205,$A132,$B$2:$B$205,$B132,$C$2:$C$205,100)))</f>
        <v/>
      </c>
      <c r="AH132" s="3" t="str">
        <f aca="false">IF(ISBLANK(R132),"",ABS(R132-SUMIFS($R$2:$R$205,$A$2:$A$205,$A132,$B$2:$B$205,$B132,$C$2:$C$205,100)))</f>
        <v/>
      </c>
      <c r="AI132" s="3" t="str">
        <f aca="false">IF(ISBLANK(S132),"",ABS(S132-SUMIFS($S$2:$S$205,$A$2:$A$205,$A132,$B$2:$B$205,$B132,$C$2:$C$205,100)))</f>
        <v/>
      </c>
      <c r="AJ132" s="3" t="n">
        <f aca="false">MAX(V132:AI132)</f>
        <v>9.49409439954252E-011</v>
      </c>
    </row>
    <row r="133" customFormat="false" ht="15" hidden="false" customHeight="false" outlineLevel="0" collapsed="false">
      <c r="A133" s="2" t="s">
        <v>44</v>
      </c>
      <c r="B133" s="2" t="s">
        <v>38</v>
      </c>
      <c r="C133" s="2" t="n">
        <v>5</v>
      </c>
      <c r="D133" s="3" t="n">
        <v>-3977.3118700006</v>
      </c>
      <c r="E133" s="3" t="n">
        <v>-2.6364509388106</v>
      </c>
      <c r="F133" s="3" t="n">
        <v>-710.341379453187</v>
      </c>
      <c r="G133" s="3" t="n">
        <v>-98.5365683555719</v>
      </c>
      <c r="H133" s="3" t="n">
        <v>-90.7408630825416</v>
      </c>
      <c r="I133" s="3" t="n">
        <v>-16.6568870904824</v>
      </c>
      <c r="J133" s="3" t="n">
        <v>-13.646470728325</v>
      </c>
      <c r="K133" s="3" t="n">
        <v>-8.13211711794801</v>
      </c>
      <c r="L133" s="3" t="n">
        <v>-2.18587372721623</v>
      </c>
      <c r="M133" s="3" t="n">
        <v>-1.32573320597618</v>
      </c>
      <c r="N133" s="3" t="n">
        <v>-0.0667919032371574</v>
      </c>
      <c r="O133" s="3" t="n">
        <v>-0.102498819104783</v>
      </c>
      <c r="P133" s="3"/>
      <c r="Q133" s="3"/>
      <c r="R133" s="3"/>
      <c r="S133" s="3"/>
      <c r="T133" s="3" t="n">
        <f aca="false">ABS(D133-SUMIFS($D$2:$D$205,$A$2:$A$205,$A133,$B$2:$B$205,$B133,$C$2:$C$205,100))</f>
        <v>0.271777801843655</v>
      </c>
      <c r="U133" s="3" t="n">
        <f aca="false">ABS(E133-SUMIFS($E$2:$E$205,$A$2:$A$205,$A133,$B$2:$B$205,$B133,$C$2:$C$205,100))</f>
        <v>0.225010849593351</v>
      </c>
      <c r="V133" s="3" t="n">
        <f aca="false">IF(ISBLANK(F133),"",ABS(F133-SUMIFS($F$2:$F$205,$A$2:$A$205,$A133,$B$2:$B$205,$B133,$C$2:$C$205,100)))</f>
        <v>0.0564891997914856</v>
      </c>
      <c r="W133" s="3" t="n">
        <f aca="false">IF(ISBLANK(G133),"",ABS(G133-SUMIFS($G$2:$G$205,$A$2:$A$205,$A133,$B$2:$B$205,$B133,$C$2:$C$205,100)))</f>
        <v>0.201898178462557</v>
      </c>
      <c r="X133" s="3" t="n">
        <f aca="false">IF(ISBLANK(H133),"",ABS(H133-SUMIFS($H$2:$H$205,$A$2:$A$205,$A133,$B$2:$B$205,$B133,$C$2:$C$205,100)))</f>
        <v>0.171440652295047</v>
      </c>
      <c r="Y133" s="3" t="n">
        <f aca="false">IF(ISBLANK(I133),"",ABS(I133-SUMIFS($I$2:$I$205,$A$2:$A$205,$A133,$B$2:$B$205,$B133,$C$2:$C$205,100)))</f>
        <v>0.2081304977632</v>
      </c>
      <c r="Z133" s="3" t="n">
        <f aca="false">IF(ISBLANK(J133),"",ABS(J133-SUMIFS($J$2:$J$205,$A$2:$A$205,$A133,$B$2:$B$205,$B133,$C$2:$C$205,100)))</f>
        <v>0.20534770068363</v>
      </c>
      <c r="AA133" s="3" t="n">
        <f aca="false">IF(ISBLANK(K133),"",ABS(K133-SUMIFS($K$2:$K$205,$A$2:$A$205,$A133,$B$2:$B$205,$B133,$C$2:$C$205,100)))</f>
        <v>0.215689230898601</v>
      </c>
      <c r="AB133" s="3" t="n">
        <f aca="false">IF(ISBLANK(L133),"",ABS(L133-SUMIFS($L$2:$L$205,$A$2:$A$205,$A133,$B$2:$B$205,$B133,$C$2:$C$205,100)))</f>
        <v>0.0784896962401711</v>
      </c>
      <c r="AC133" s="3" t="n">
        <f aca="false">IF(ISBLANK(M133),"",ABS(M133-SUMIFS($M$2:$M$205,$A$2:$A$205,$A133,$B$2:$B$205,$B133,$C$2:$C$205,100)))</f>
        <v>0.0868847546031719</v>
      </c>
      <c r="AD133" s="3" t="n">
        <f aca="false">IF(ISBLANK(N133),"",ABS(N133-SUMIFS($N$2:$N$205,$A$2:$A$205,$A133,$B$2:$B$205,$B133,$C$2:$C$205,100)))</f>
        <v>0.112871217010937</v>
      </c>
      <c r="AE133" s="3" t="n">
        <f aca="false">IF(ISBLANK(O133),"",ABS(O133-SUMIFS($O$2:$O$205,$A$2:$A$205,$A133,$B$2:$B$205,$B133,$C$2:$C$205,100)))</f>
        <v>0.104192097165516</v>
      </c>
      <c r="AF133" s="3" t="str">
        <f aca="false">IF(ISBLANK(P133),"",ABS(P133-SUMIFS($P$2:$P$205,$A$2:$A$205,$A133,$B$2:$B$205,$B133,$C$2:$C$205,100)))</f>
        <v/>
      </c>
      <c r="AG133" s="3" t="str">
        <f aca="false">IF(ISBLANK(Q133),"",ABS(Q133-SUMIFS($Q$2:$Q$205,$A$2:$A$205,$A133,$B$2:$B$205,$B133,$C$2:$C$205,100)))</f>
        <v/>
      </c>
      <c r="AH133" s="3" t="str">
        <f aca="false">IF(ISBLANK(R133),"",ABS(R133-SUMIFS($R$2:$R$205,$A$2:$A$205,$A133,$B$2:$B$205,$B133,$C$2:$C$205,100)))</f>
        <v/>
      </c>
      <c r="AI133" s="3" t="str">
        <f aca="false">IF(ISBLANK(S133),"",ABS(S133-SUMIFS($S$2:$S$205,$A$2:$A$205,$A133,$B$2:$B$205,$B133,$C$2:$C$205,100)))</f>
        <v/>
      </c>
      <c r="AJ133" s="3" t="n">
        <f aca="false">MAX(V133:AI133)</f>
        <v>0.215689230898601</v>
      </c>
    </row>
    <row r="134" customFormat="false" ht="15" hidden="false" customHeight="false" outlineLevel="0" collapsed="false">
      <c r="A134" s="2" t="s">
        <v>44</v>
      </c>
      <c r="B134" s="2" t="s">
        <v>38</v>
      </c>
      <c r="C134" s="2" t="n">
        <v>10</v>
      </c>
      <c r="D134" s="3" t="n">
        <v>-3977.50662210766</v>
      </c>
      <c r="E134" s="3" t="n">
        <v>-2.78844514188869</v>
      </c>
      <c r="F134" s="3" t="n">
        <v>-710.350664460823</v>
      </c>
      <c r="G134" s="3" t="n">
        <v>-98.6946374325968</v>
      </c>
      <c r="H134" s="3" t="n">
        <v>-90.8688103602638</v>
      </c>
      <c r="I134" s="3" t="n">
        <v>-16.8288232520589</v>
      </c>
      <c r="J134" s="3" t="n">
        <v>-13.8162830817584</v>
      </c>
      <c r="K134" s="3" t="n">
        <v>-8.31263237392952</v>
      </c>
      <c r="L134" s="3" t="n">
        <v>-2.24072217600861</v>
      </c>
      <c r="M134" s="3" t="n">
        <v>-1.38723151513671</v>
      </c>
      <c r="N134" s="3" t="n">
        <v>-0.151540490512862</v>
      </c>
      <c r="O134" s="3" t="n">
        <v>-0.185011875165711</v>
      </c>
      <c r="P134" s="3"/>
      <c r="Q134" s="3"/>
      <c r="R134" s="3"/>
      <c r="S134" s="3"/>
      <c r="T134" s="3" t="n">
        <f aca="false">ABS(D134-SUMIFS($D$2:$D$205,$A$2:$A$205,$A134,$B$2:$B$205,$B134,$C$2:$C$205,100))</f>
        <v>0.0770256947857888</v>
      </c>
      <c r="U134" s="3" t="n">
        <f aca="false">ABS(E134-SUMIFS($E$2:$E$205,$A$2:$A$205,$A134,$B$2:$B$205,$B134,$C$2:$C$205,100))</f>
        <v>0.0730166465152582</v>
      </c>
      <c r="V134" s="3" t="n">
        <f aca="false">IF(ISBLANK(F134),"",ABS(F134-SUMIFS($F$2:$F$205,$A$2:$A$205,$A134,$B$2:$B$205,$B134,$C$2:$C$205,100)))</f>
        <v>0.0472041921555046</v>
      </c>
      <c r="W134" s="3" t="n">
        <f aca="false">IF(ISBLANK(G134),"",ABS(G134-SUMIFS($G$2:$G$205,$A$2:$A$205,$A134,$B$2:$B$205,$B134,$C$2:$C$205,100)))</f>
        <v>0.0438291014376659</v>
      </c>
      <c r="X134" s="3" t="n">
        <f aca="false">IF(ISBLANK(H134),"",ABS(H134-SUMIFS($H$2:$H$205,$A$2:$A$205,$A134,$B$2:$B$205,$B134,$C$2:$C$205,100)))</f>
        <v>0.0434933745727903</v>
      </c>
      <c r="Y134" s="3" t="n">
        <f aca="false">IF(ISBLANK(I134),"",ABS(I134-SUMIFS($I$2:$I$205,$A$2:$A$205,$A134,$B$2:$B$205,$B134,$C$2:$C$205,100)))</f>
        <v>0.0361943361867212</v>
      </c>
      <c r="Z134" s="3" t="n">
        <f aca="false">IF(ISBLANK(J134),"",ABS(J134-SUMIFS($J$2:$J$205,$A$2:$A$205,$A134,$B$2:$B$205,$B134,$C$2:$C$205,100)))</f>
        <v>0.0355353472501694</v>
      </c>
      <c r="AA134" s="3" t="n">
        <f aca="false">IF(ISBLANK(K134),"",ABS(K134-SUMIFS($K$2:$K$205,$A$2:$A$205,$A134,$B$2:$B$205,$B134,$C$2:$C$205,100)))</f>
        <v>0.0351739749170861</v>
      </c>
      <c r="AB134" s="3" t="n">
        <f aca="false">IF(ISBLANK(L134),"",ABS(L134-SUMIFS($L$2:$L$205,$A$2:$A$205,$A134,$B$2:$B$205,$B134,$C$2:$C$205,100)))</f>
        <v>0.0236412474477832</v>
      </c>
      <c r="AC134" s="3" t="n">
        <f aca="false">IF(ISBLANK(M134),"",ABS(M134-SUMIFS($M$2:$M$205,$A$2:$A$205,$A134,$B$2:$B$205,$B134,$C$2:$C$205,100)))</f>
        <v>0.025386445442642</v>
      </c>
      <c r="AD134" s="3" t="n">
        <f aca="false">IF(ISBLANK(N134),"",ABS(N134-SUMIFS($N$2:$N$205,$A$2:$A$205,$A134,$B$2:$B$205,$B134,$C$2:$C$205,100)))</f>
        <v>0.028122629735232</v>
      </c>
      <c r="AE134" s="3" t="n">
        <f aca="false">IF(ISBLANK(O134),"",ABS(O134-SUMIFS($O$2:$O$205,$A$2:$A$205,$A134,$B$2:$B$205,$B134,$C$2:$C$205,100)))</f>
        <v>0.0216790411045882</v>
      </c>
      <c r="AF134" s="3" t="str">
        <f aca="false">IF(ISBLANK(P134),"",ABS(P134-SUMIFS($P$2:$P$205,$A$2:$A$205,$A134,$B$2:$B$205,$B134,$C$2:$C$205,100)))</f>
        <v/>
      </c>
      <c r="AG134" s="3" t="str">
        <f aca="false">IF(ISBLANK(Q134),"",ABS(Q134-SUMIFS($Q$2:$Q$205,$A$2:$A$205,$A134,$B$2:$B$205,$B134,$C$2:$C$205,100)))</f>
        <v/>
      </c>
      <c r="AH134" s="3" t="str">
        <f aca="false">IF(ISBLANK(R134),"",ABS(R134-SUMIFS($R$2:$R$205,$A$2:$A$205,$A134,$B$2:$B$205,$B134,$C$2:$C$205,100)))</f>
        <v/>
      </c>
      <c r="AI134" s="3" t="str">
        <f aca="false">IF(ISBLANK(S134),"",ABS(S134-SUMIFS($S$2:$S$205,$A$2:$A$205,$A134,$B$2:$B$205,$B134,$C$2:$C$205,100)))</f>
        <v/>
      </c>
      <c r="AJ134" s="3" t="n">
        <f aca="false">MAX(V134:AI134)</f>
        <v>0.0472041921555046</v>
      </c>
    </row>
    <row r="135" customFormat="false" ht="15" hidden="false" customHeight="false" outlineLevel="0" collapsed="false">
      <c r="A135" s="2" t="s">
        <v>44</v>
      </c>
      <c r="B135" s="2" t="s">
        <v>38</v>
      </c>
      <c r="C135" s="2" t="n">
        <v>15</v>
      </c>
      <c r="D135" s="3" t="n">
        <v>-3977.58481985</v>
      </c>
      <c r="E135" s="3" t="n">
        <v>-2.86303208610462</v>
      </c>
      <c r="F135" s="3" t="n">
        <v>-710.391704099834</v>
      </c>
      <c r="G135" s="3" t="n">
        <v>-98.7329691584256</v>
      </c>
      <c r="H135" s="3" t="n">
        <v>-90.9059764233561</v>
      </c>
      <c r="I135" s="3" t="n">
        <v>-16.8608959459287</v>
      </c>
      <c r="J135" s="3" t="n">
        <v>-13.847549598575</v>
      </c>
      <c r="K135" s="3" t="n">
        <v>-8.34350050097701</v>
      </c>
      <c r="L135" s="3" t="n">
        <v>-2.25550536838078</v>
      </c>
      <c r="M135" s="3" t="n">
        <v>-1.40352394853154</v>
      </c>
      <c r="N135" s="3" t="n">
        <v>-0.170245887487355</v>
      </c>
      <c r="O135" s="3" t="n">
        <v>-0.19866954896223</v>
      </c>
      <c r="P135" s="3"/>
      <c r="Q135" s="3"/>
      <c r="R135" s="3"/>
      <c r="S135" s="3"/>
      <c r="T135" s="3" t="n">
        <f aca="false">ABS(D135-SUMIFS($D$2:$D$205,$A$2:$A$205,$A135,$B$2:$B$205,$B135,$C$2:$C$205,100))</f>
        <v>0.0011720475531547</v>
      </c>
      <c r="U135" s="3" t="n">
        <f aca="false">ABS(E135-SUMIFS($E$2:$E$205,$A$2:$A$205,$A135,$B$2:$B$205,$B135,$C$2:$C$205,100))</f>
        <v>0.00157029770067174</v>
      </c>
      <c r="V135" s="3" t="n">
        <f aca="false">IF(ISBLANK(F135),"",ABS(F135-SUMIFS($F$2:$F$205,$A$2:$A$205,$A135,$B$2:$B$205,$B135,$C$2:$C$205,100)))</f>
        <v>0.00616455314457198</v>
      </c>
      <c r="W135" s="3" t="n">
        <f aca="false">IF(ISBLANK(G135),"",ABS(G135-SUMIFS($G$2:$G$205,$A$2:$A$205,$A135,$B$2:$B$205,$B135,$C$2:$C$205,100)))</f>
        <v>0.00549737560891117</v>
      </c>
      <c r="X135" s="3" t="n">
        <f aca="false">IF(ISBLANK(H135),"",ABS(H135-SUMIFS($H$2:$H$205,$A$2:$A$205,$A135,$B$2:$B$205,$B135,$C$2:$C$205,100)))</f>
        <v>0.00632731148053267</v>
      </c>
      <c r="Y135" s="3" t="n">
        <f aca="false">IF(ISBLANK(I135),"",ABS(I135-SUMIFS($I$2:$I$205,$A$2:$A$205,$A135,$B$2:$B$205,$B135,$C$2:$C$205,100)))</f>
        <v>0.00412164231694945</v>
      </c>
      <c r="Z135" s="3" t="n">
        <f aca="false">IF(ISBLANK(J135),"",ABS(J135-SUMIFS($J$2:$J$205,$A$2:$A$205,$A135,$B$2:$B$205,$B135,$C$2:$C$205,100)))</f>
        <v>0.00426883043354032</v>
      </c>
      <c r="AA135" s="3" t="n">
        <f aca="false">IF(ISBLANK(K135),"",ABS(K135-SUMIFS($K$2:$K$205,$A$2:$A$205,$A135,$B$2:$B$205,$B135,$C$2:$C$205,100)))</f>
        <v>0.00430584786960253</v>
      </c>
      <c r="AB135" s="3" t="n">
        <f aca="false">IF(ISBLANK(L135),"",ABS(L135-SUMIFS($L$2:$L$205,$A$2:$A$205,$A135,$B$2:$B$205,$B135,$C$2:$C$205,100)))</f>
        <v>0.00885805507561699</v>
      </c>
      <c r="AC135" s="3" t="n">
        <f aca="false">IF(ISBLANK(M135),"",ABS(M135-SUMIFS($M$2:$M$205,$A$2:$A$205,$A135,$B$2:$B$205,$B135,$C$2:$C$205,100)))</f>
        <v>0.00909401204781801</v>
      </c>
      <c r="AD135" s="3" t="n">
        <f aca="false">IF(ISBLANK(N135),"",ABS(N135-SUMIFS($N$2:$N$205,$A$2:$A$205,$A135,$B$2:$B$205,$B135,$C$2:$C$205,100)))</f>
        <v>0.00941723276073889</v>
      </c>
      <c r="AE135" s="3" t="n">
        <f aca="false">IF(ISBLANK(O135),"",ABS(O135-SUMIFS($O$2:$O$205,$A$2:$A$205,$A135,$B$2:$B$205,$B135,$C$2:$C$205,100)))</f>
        <v>0.00802136730806921</v>
      </c>
      <c r="AF135" s="3" t="str">
        <f aca="false">IF(ISBLANK(P135),"",ABS(P135-SUMIFS($P$2:$P$205,$A$2:$A$205,$A135,$B$2:$B$205,$B135,$C$2:$C$205,100)))</f>
        <v/>
      </c>
      <c r="AG135" s="3" t="str">
        <f aca="false">IF(ISBLANK(Q135),"",ABS(Q135-SUMIFS($Q$2:$Q$205,$A$2:$A$205,$A135,$B$2:$B$205,$B135,$C$2:$C$205,100)))</f>
        <v/>
      </c>
      <c r="AH135" s="3" t="str">
        <f aca="false">IF(ISBLANK(R135),"",ABS(R135-SUMIFS($R$2:$R$205,$A$2:$A$205,$A135,$B$2:$B$205,$B135,$C$2:$C$205,100)))</f>
        <v/>
      </c>
      <c r="AI135" s="3" t="str">
        <f aca="false">IF(ISBLANK(S135),"",ABS(S135-SUMIFS($S$2:$S$205,$A$2:$A$205,$A135,$B$2:$B$205,$B135,$C$2:$C$205,100)))</f>
        <v/>
      </c>
      <c r="AJ135" s="3" t="n">
        <f aca="false">MAX(V135:AI135)</f>
        <v>0.00941723276073889</v>
      </c>
    </row>
    <row r="136" customFormat="false" ht="15" hidden="false" customHeight="false" outlineLevel="0" collapsed="false">
      <c r="A136" s="2" t="s">
        <v>44</v>
      </c>
      <c r="B136" s="2" t="s">
        <v>38</v>
      </c>
      <c r="C136" s="2" t="n">
        <v>20</v>
      </c>
      <c r="D136" s="3" t="n">
        <v>-3977.58395803413</v>
      </c>
      <c r="E136" s="3" t="n">
        <v>-2.86189223730603</v>
      </c>
      <c r="F136" s="3" t="n">
        <v>-710.394153003468</v>
      </c>
      <c r="G136" s="3" t="n">
        <v>-98.7346496915219</v>
      </c>
      <c r="H136" s="3" t="n">
        <v>-90.9083918031389</v>
      </c>
      <c r="I136" s="3" t="n">
        <v>-16.8610469342146</v>
      </c>
      <c r="J136" s="3" t="n">
        <v>-13.8478302474871</v>
      </c>
      <c r="K136" s="3" t="n">
        <v>-8.34383822549328</v>
      </c>
      <c r="L136" s="3" t="n">
        <v>-2.26014919323616</v>
      </c>
      <c r="M136" s="3" t="n">
        <v>-1.40832340086672</v>
      </c>
      <c r="N136" s="3" t="n">
        <v>-0.175279785173536</v>
      </c>
      <c r="O136" s="3" t="n">
        <v>-0.202660247677622</v>
      </c>
      <c r="P136" s="3"/>
      <c r="Q136" s="3"/>
      <c r="R136" s="3"/>
      <c r="S136" s="3"/>
      <c r="T136" s="3" t="n">
        <f aca="false">ABS(D136-SUMIFS($D$2:$D$205,$A$2:$A$205,$A136,$B$2:$B$205,$B136,$C$2:$C$205,100))</f>
        <v>0.00031023168730826</v>
      </c>
      <c r="U136" s="3" t="n">
        <f aca="false">ABS(E136-SUMIFS($E$2:$E$205,$A$2:$A$205,$A136,$B$2:$B$205,$B136,$C$2:$C$205,100))</f>
        <v>0.000430448902080993</v>
      </c>
      <c r="V136" s="3" t="n">
        <f aca="false">IF(ISBLANK(F136),"",ABS(F136-SUMIFS($F$2:$F$205,$A$2:$A$205,$A136,$B$2:$B$205,$B136,$C$2:$C$205,100)))</f>
        <v>0.00371564951046821</v>
      </c>
      <c r="W136" s="3" t="n">
        <f aca="false">IF(ISBLANK(G136),"",ABS(G136-SUMIFS($G$2:$G$205,$A$2:$A$205,$A136,$B$2:$B$205,$B136,$C$2:$C$205,100)))</f>
        <v>0.00381684251263437</v>
      </c>
      <c r="X136" s="3" t="n">
        <f aca="false">IF(ISBLANK(H136),"",ABS(H136-SUMIFS($H$2:$H$205,$A$2:$A$205,$A136,$B$2:$B$205,$B136,$C$2:$C$205,100)))</f>
        <v>0.00391193169770077</v>
      </c>
      <c r="Y136" s="3" t="n">
        <f aca="false">IF(ISBLANK(I136),"",ABS(I136-SUMIFS($I$2:$I$205,$A$2:$A$205,$A136,$B$2:$B$205,$B136,$C$2:$C$205,100)))</f>
        <v>0.00397065403095809</v>
      </c>
      <c r="Z136" s="3" t="n">
        <f aca="false">IF(ISBLANK(J136),"",ABS(J136-SUMIFS($J$2:$J$205,$A$2:$A$205,$A136,$B$2:$B$205,$B136,$C$2:$C$205,100)))</f>
        <v>0.00398818152143932</v>
      </c>
      <c r="AA136" s="3" t="n">
        <f aca="false">IF(ISBLANK(K136),"",ABS(K136-SUMIFS($K$2:$K$205,$A$2:$A$205,$A136,$B$2:$B$205,$B136,$C$2:$C$205,100)))</f>
        <v>0.00396812335333152</v>
      </c>
      <c r="AB136" s="3" t="n">
        <f aca="false">IF(ISBLANK(L136),"",ABS(L136-SUMIFS($L$2:$L$205,$A$2:$A$205,$A136,$B$2:$B$205,$B136,$C$2:$C$205,100)))</f>
        <v>0.00421423022023415</v>
      </c>
      <c r="AC136" s="3" t="n">
        <f aca="false">IF(ISBLANK(M136),"",ABS(M136-SUMIFS($M$2:$M$205,$A$2:$A$205,$A136,$B$2:$B$205,$B136,$C$2:$C$205,100)))</f>
        <v>0.00429455971263404</v>
      </c>
      <c r="AD136" s="3" t="n">
        <f aca="false">IF(ISBLANK(N136),"",ABS(N136-SUMIFS($N$2:$N$205,$A$2:$A$205,$A136,$B$2:$B$205,$B136,$C$2:$C$205,100)))</f>
        <v>0.0043833350745581</v>
      </c>
      <c r="AE136" s="3" t="n">
        <f aca="false">IF(ISBLANK(O136),"",ABS(O136-SUMIFS($O$2:$O$205,$A$2:$A$205,$A136,$B$2:$B$205,$B136,$C$2:$C$205,100)))</f>
        <v>0.00403066859267739</v>
      </c>
      <c r="AF136" s="3" t="str">
        <f aca="false">IF(ISBLANK(P136),"",ABS(P136-SUMIFS($P$2:$P$205,$A$2:$A$205,$A136,$B$2:$B$205,$B136,$C$2:$C$205,100)))</f>
        <v/>
      </c>
      <c r="AG136" s="3" t="str">
        <f aca="false">IF(ISBLANK(Q136),"",ABS(Q136-SUMIFS($Q$2:$Q$205,$A$2:$A$205,$A136,$B$2:$B$205,$B136,$C$2:$C$205,100)))</f>
        <v/>
      </c>
      <c r="AH136" s="3" t="str">
        <f aca="false">IF(ISBLANK(R136),"",ABS(R136-SUMIFS($R$2:$R$205,$A$2:$A$205,$A136,$B$2:$B$205,$B136,$C$2:$C$205,100)))</f>
        <v/>
      </c>
      <c r="AI136" s="3" t="str">
        <f aca="false">IF(ISBLANK(S136),"",ABS(S136-SUMIFS($S$2:$S$205,$A$2:$A$205,$A136,$B$2:$B$205,$B136,$C$2:$C$205,100)))</f>
        <v/>
      </c>
      <c r="AJ136" s="3" t="n">
        <f aca="false">MAX(V136:AI136)</f>
        <v>0.0043833350745581</v>
      </c>
    </row>
    <row r="137" customFormat="false" ht="15" hidden="false" customHeight="false" outlineLevel="0" collapsed="false">
      <c r="A137" s="2" t="s">
        <v>44</v>
      </c>
      <c r="B137" s="2" t="s">
        <v>38</v>
      </c>
      <c r="C137" s="2" t="n">
        <v>30</v>
      </c>
      <c r="D137" s="3" t="n">
        <v>-3977.58364784634</v>
      </c>
      <c r="E137" s="3" t="n">
        <v>-2.86146429959614</v>
      </c>
      <c r="F137" s="3" t="n">
        <v>-710.397727224128</v>
      </c>
      <c r="G137" s="3" t="n">
        <v>-98.7383224725523</v>
      </c>
      <c r="H137" s="3" t="n">
        <v>-90.9121602417269</v>
      </c>
      <c r="I137" s="3" t="n">
        <v>-16.8648735382638</v>
      </c>
      <c r="J137" s="3" t="n">
        <v>-13.851674246012</v>
      </c>
      <c r="K137" s="3" t="n">
        <v>-8.34766162396307</v>
      </c>
      <c r="L137" s="3" t="n">
        <v>-2.2642140430512</v>
      </c>
      <c r="M137" s="3" t="n">
        <v>-1.41246625950448</v>
      </c>
      <c r="N137" s="3" t="n">
        <v>-0.179507327625864</v>
      </c>
      <c r="O137" s="3" t="n">
        <v>-0.206545071676471</v>
      </c>
      <c r="P137" s="3"/>
      <c r="Q137" s="3"/>
      <c r="R137" s="3"/>
      <c r="S137" s="3"/>
      <c r="T137" s="3" t="n">
        <f aca="false">ABS(D137-SUMIFS($D$2:$D$205,$A$2:$A$205,$A137,$B$2:$B$205,$B137,$C$2:$C$205,100))</f>
        <v>4.38931238022633E-008</v>
      </c>
      <c r="U137" s="3" t="n">
        <f aca="false">ABS(E137-SUMIFS($E$2:$E$205,$A$2:$A$205,$A137,$B$2:$B$205,$B137,$C$2:$C$205,100))</f>
        <v>2.51119219374374E-006</v>
      </c>
      <c r="V137" s="3" t="n">
        <f aca="false">IF(ISBLANK(F137),"",ABS(F137-SUMIFS($F$2:$F$205,$A$2:$A$205,$A137,$B$2:$B$205,$B137,$C$2:$C$205,100)))</f>
        <v>0.000141428850611192</v>
      </c>
      <c r="W137" s="3" t="n">
        <f aca="false">IF(ISBLANK(G137),"",ABS(G137-SUMIFS($G$2:$G$205,$A$2:$A$205,$A137,$B$2:$B$205,$B137,$C$2:$C$205,100)))</f>
        <v>0.000144061482160396</v>
      </c>
      <c r="X137" s="3" t="n">
        <f aca="false">IF(ISBLANK(H137),"",ABS(H137-SUMIFS($H$2:$H$205,$A$2:$A$205,$A137,$B$2:$B$205,$B137,$C$2:$C$205,100)))</f>
        <v>0.000143493109732162</v>
      </c>
      <c r="Y137" s="3" t="n">
        <f aca="false">IF(ISBLANK(I137),"",ABS(I137-SUMIFS($I$2:$I$205,$A$2:$A$205,$A137,$B$2:$B$205,$B137,$C$2:$C$205,100)))</f>
        <v>0.000144049981759764</v>
      </c>
      <c r="Z137" s="3" t="n">
        <f aca="false">IF(ISBLANK(J137),"",ABS(J137-SUMIFS($J$2:$J$205,$A$2:$A$205,$A137,$B$2:$B$205,$B137,$C$2:$C$205,100)))</f>
        <v>0.000144182996629993</v>
      </c>
      <c r="AA137" s="3" t="n">
        <f aca="false">IF(ISBLANK(K137),"",ABS(K137-SUMIFS($K$2:$K$205,$A$2:$A$205,$A137,$B$2:$B$205,$B137,$C$2:$C$205,100)))</f>
        <v>0.000144724883536895</v>
      </c>
      <c r="AB137" s="3" t="n">
        <f aca="false">IF(ISBLANK(L137),"",ABS(L137-SUMIFS($L$2:$L$205,$A$2:$A$205,$A137,$B$2:$B$205,$B137,$C$2:$C$205,100)))</f>
        <v>0.000149380405196187</v>
      </c>
      <c r="AC137" s="3" t="n">
        <f aca="false">IF(ISBLANK(M137),"",ABS(M137-SUMIFS($M$2:$M$205,$A$2:$A$205,$A137,$B$2:$B$205,$B137,$C$2:$C$205,100)))</f>
        <v>0.000151701074873944</v>
      </c>
      <c r="AD137" s="3" t="n">
        <f aca="false">IF(ISBLANK(N137),"",ABS(N137-SUMIFS($N$2:$N$205,$A$2:$A$205,$A137,$B$2:$B$205,$B137,$C$2:$C$205,100)))</f>
        <v>0.000155792622229783</v>
      </c>
      <c r="AE137" s="3" t="n">
        <f aca="false">IF(ISBLANK(O137),"",ABS(O137-SUMIFS($O$2:$O$205,$A$2:$A$205,$A137,$B$2:$B$205,$B137,$C$2:$C$205,100)))</f>
        <v>0.000145844593828715</v>
      </c>
      <c r="AF137" s="3" t="str">
        <f aca="false">IF(ISBLANK(P137),"",ABS(P137-SUMIFS($P$2:$P$205,$A$2:$A$205,$A137,$B$2:$B$205,$B137,$C$2:$C$205,100)))</f>
        <v/>
      </c>
      <c r="AG137" s="3" t="str">
        <f aca="false">IF(ISBLANK(Q137),"",ABS(Q137-SUMIFS($Q$2:$Q$205,$A$2:$A$205,$A137,$B$2:$B$205,$B137,$C$2:$C$205,100)))</f>
        <v/>
      </c>
      <c r="AH137" s="3" t="str">
        <f aca="false">IF(ISBLANK(R137),"",ABS(R137-SUMIFS($R$2:$R$205,$A$2:$A$205,$A137,$B$2:$B$205,$B137,$C$2:$C$205,100)))</f>
        <v/>
      </c>
      <c r="AI137" s="3" t="str">
        <f aca="false">IF(ISBLANK(S137),"",ABS(S137-SUMIFS($S$2:$S$205,$A$2:$A$205,$A137,$B$2:$B$205,$B137,$C$2:$C$205,100)))</f>
        <v/>
      </c>
      <c r="AJ137" s="3" t="n">
        <f aca="false">MAX(V137:AI137)</f>
        <v>0.000155792622229783</v>
      </c>
    </row>
    <row r="138" customFormat="false" ht="15" hidden="false" customHeight="false" outlineLevel="0" collapsed="false">
      <c r="A138" s="2" t="s">
        <v>44</v>
      </c>
      <c r="B138" s="2" t="s">
        <v>38</v>
      </c>
      <c r="C138" s="2" t="n">
        <v>50</v>
      </c>
      <c r="D138" s="3" t="n">
        <v>-3977.58364780281</v>
      </c>
      <c r="E138" s="3" t="n">
        <v>-2.861461789682</v>
      </c>
      <c r="F138" s="3" t="n">
        <v>-710.397868598628</v>
      </c>
      <c r="G138" s="3" t="n">
        <v>-98.7384664793866</v>
      </c>
      <c r="H138" s="3" t="n">
        <v>-90.9123036799189</v>
      </c>
      <c r="I138" s="3" t="n">
        <v>-16.865017533301</v>
      </c>
      <c r="J138" s="3" t="n">
        <v>-13.8518183735018</v>
      </c>
      <c r="K138" s="3" t="n">
        <v>-8.34780629310587</v>
      </c>
      <c r="L138" s="3" t="n">
        <v>-2.26436336554601</v>
      </c>
      <c r="M138" s="3" t="n">
        <v>-1.41261790153795</v>
      </c>
      <c r="N138" s="3" t="n">
        <v>-0.179663060033727</v>
      </c>
      <c r="O138" s="3" t="n">
        <v>-0.206690860139389</v>
      </c>
      <c r="P138" s="3"/>
      <c r="Q138" s="3"/>
      <c r="R138" s="3"/>
      <c r="S138" s="3"/>
      <c r="T138" s="3" t="n">
        <f aca="false">ABS(D138-SUMIFS($D$2:$D$205,$A$2:$A$205,$A138,$B$2:$B$205,$B138,$C$2:$C$205,100))</f>
        <v>3.6015990190208E-010</v>
      </c>
      <c r="U138" s="3" t="n">
        <f aca="false">ABS(E138-SUMIFS($E$2:$E$205,$A$2:$A$205,$A138,$B$2:$B$205,$B138,$C$2:$C$205,100))</f>
        <v>1.27805277472248E-009</v>
      </c>
      <c r="V138" s="3" t="n">
        <f aca="false">IF(ISBLANK(F138),"",ABS(F138-SUMIFS($F$2:$F$205,$A$2:$A$205,$A138,$B$2:$B$205,$B138,$C$2:$C$205,100)))</f>
        <v>5.43509486305993E-008</v>
      </c>
      <c r="W138" s="3" t="n">
        <f aca="false">IF(ISBLANK(G138),"",ABS(G138-SUMIFS($G$2:$G$205,$A$2:$A$205,$A138,$B$2:$B$205,$B138,$C$2:$C$205,100)))</f>
        <v>5.46478986507282E-008</v>
      </c>
      <c r="X138" s="3" t="n">
        <f aca="false">IF(ISBLANK(H138),"",ABS(H138-SUMIFS($H$2:$H$205,$A$2:$A$205,$A138,$B$2:$B$205,$B138,$C$2:$C$205,100)))</f>
        <v>5.4917705938351E-008</v>
      </c>
      <c r="Y138" s="3" t="n">
        <f aca="false">IF(ISBLANK(I138),"",ABS(I138-SUMIFS($I$2:$I$205,$A$2:$A$205,$A138,$B$2:$B$205,$B138,$C$2:$C$205,100)))</f>
        <v>5.49445786646174E-008</v>
      </c>
      <c r="Z138" s="3" t="n">
        <f aca="false">IF(ISBLANK(J138),"",ABS(J138-SUMIFS($J$2:$J$205,$A$2:$A$205,$A138,$B$2:$B$205,$B138,$C$2:$C$205,100)))</f>
        <v>5.55068186969265E-008</v>
      </c>
      <c r="AA138" s="3" t="n">
        <f aca="false">IF(ISBLANK(K138),"",ABS(K138-SUMIFS($K$2:$K$205,$A$2:$A$205,$A138,$B$2:$B$205,$B138,$C$2:$C$205,100)))</f>
        <v>5.57407453527503E-008</v>
      </c>
      <c r="AB138" s="3" t="n">
        <f aca="false">IF(ISBLANK(L138),"",ABS(L138-SUMIFS($L$2:$L$205,$A$2:$A$205,$A138,$B$2:$B$205,$B138,$C$2:$C$205,100)))</f>
        <v>5.79103831555017E-008</v>
      </c>
      <c r="AC138" s="3" t="n">
        <f aca="false">IF(ISBLANK(M138),"",ABS(M138-SUMIFS($M$2:$M$205,$A$2:$A$205,$A138,$B$2:$B$205,$B138,$C$2:$C$205,100)))</f>
        <v>5.90414099832515E-008</v>
      </c>
      <c r="AD138" s="3" t="n">
        <f aca="false">IF(ISBLANK(N138),"",ABS(N138-SUMIFS($N$2:$N$205,$A$2:$A$205,$A138,$B$2:$B$205,$B138,$C$2:$C$205,100)))</f>
        <v>6.02143667982613E-008</v>
      </c>
      <c r="AE138" s="3" t="n">
        <f aca="false">IF(ISBLANK(O138),"",ABS(O138-SUMIFS($O$2:$O$205,$A$2:$A$205,$A138,$B$2:$B$205,$B138,$C$2:$C$205,100)))</f>
        <v>5.61309105029384E-008</v>
      </c>
      <c r="AF138" s="3" t="str">
        <f aca="false">IF(ISBLANK(P138),"",ABS(P138-SUMIFS($P$2:$P$205,$A$2:$A$205,$A138,$B$2:$B$205,$B138,$C$2:$C$205,100)))</f>
        <v/>
      </c>
      <c r="AG138" s="3" t="str">
        <f aca="false">IF(ISBLANK(Q138),"",ABS(Q138-SUMIFS($Q$2:$Q$205,$A$2:$A$205,$A138,$B$2:$B$205,$B138,$C$2:$C$205,100)))</f>
        <v/>
      </c>
      <c r="AH138" s="3" t="str">
        <f aca="false">IF(ISBLANK(R138),"",ABS(R138-SUMIFS($R$2:$R$205,$A$2:$A$205,$A138,$B$2:$B$205,$B138,$C$2:$C$205,100)))</f>
        <v/>
      </c>
      <c r="AI138" s="3" t="str">
        <f aca="false">IF(ISBLANK(S138),"",ABS(S138-SUMIFS($S$2:$S$205,$A$2:$A$205,$A138,$B$2:$B$205,$B138,$C$2:$C$205,100)))</f>
        <v/>
      </c>
      <c r="AJ138" s="3" t="n">
        <f aca="false">MAX(V138:AI138)</f>
        <v>6.02143667982613E-008</v>
      </c>
    </row>
    <row r="139" customFormat="false" ht="15" hidden="false" customHeight="false" outlineLevel="0" collapsed="false">
      <c r="A139" s="2" t="s">
        <v>44</v>
      </c>
      <c r="B139" s="2" t="s">
        <v>38</v>
      </c>
      <c r="C139" s="2" t="n">
        <v>80</v>
      </c>
      <c r="D139" s="3" t="n">
        <v>-3977.58364780245</v>
      </c>
      <c r="E139" s="3" t="n">
        <v>-2.86146178840352</v>
      </c>
      <c r="F139" s="3" t="n">
        <v>-710.39786865292</v>
      </c>
      <c r="G139" s="3" t="n">
        <v>-98.7384665339763</v>
      </c>
      <c r="H139" s="3" t="n">
        <v>-90.9123037348366</v>
      </c>
      <c r="I139" s="3" t="n">
        <v>-16.865017588484</v>
      </c>
      <c r="J139" s="3" t="n">
        <v>-13.8518184290086</v>
      </c>
      <c r="K139" s="3" t="n">
        <v>-8.34780634884661</v>
      </c>
      <c r="L139" s="3" t="n">
        <v>-2.26436342339819</v>
      </c>
      <c r="M139" s="3" t="n">
        <v>-1.41261796057936</v>
      </c>
      <c r="N139" s="3" t="n">
        <v>-0.179663120248094</v>
      </c>
      <c r="O139" s="3" t="n">
        <v>-0.206690916212092</v>
      </c>
      <c r="P139" s="3"/>
      <c r="Q139" s="3"/>
      <c r="R139" s="3"/>
      <c r="S139" s="3"/>
      <c r="T139" s="3" t="n">
        <f aca="false">ABS(D139-SUMIFS($D$2:$D$205,$A$2:$A$205,$A139,$B$2:$B$205,$B139,$C$2:$C$205,100))</f>
        <v>0</v>
      </c>
      <c r="U139" s="3" t="n">
        <f aca="false">ABS(E139-SUMIFS($E$2:$E$205,$A$2:$A$205,$A139,$B$2:$B$205,$B139,$C$2:$C$205,100))</f>
        <v>4.31210622764411E-013</v>
      </c>
      <c r="V139" s="3" t="n">
        <f aca="false">IF(ISBLANK(F139),"",ABS(F139-SUMIFS($F$2:$F$205,$A$2:$A$205,$A139,$B$2:$B$205,$B139,$C$2:$C$205,100)))</f>
        <v>5.82076609134674E-011</v>
      </c>
      <c r="W139" s="3" t="n">
        <f aca="false">IF(ISBLANK(G139),"",ABS(G139-SUMIFS($G$2:$G$205,$A$2:$A$205,$A139,$B$2:$B$205,$B139,$C$2:$C$205,100)))</f>
        <v>5.82076609134674E-011</v>
      </c>
      <c r="X139" s="3" t="n">
        <f aca="false">IF(ISBLANK(H139),"",ABS(H139-SUMIFS($H$2:$H$205,$A$2:$A$205,$A139,$B$2:$B$205,$B139,$C$2:$C$205,100)))</f>
        <v>0</v>
      </c>
      <c r="Y139" s="3" t="n">
        <f aca="false">IF(ISBLANK(I139),"",ABS(I139-SUMIFS($I$2:$I$205,$A$2:$A$205,$A139,$B$2:$B$205,$B139,$C$2:$C$205,100)))</f>
        <v>2.3836932427912E-010</v>
      </c>
      <c r="Z139" s="3" t="n">
        <f aca="false">IF(ISBLANK(J139),"",ABS(J139-SUMIFS($J$2:$J$205,$A$2:$A$205,$A139,$B$2:$B$205,$B139,$C$2:$C$205,100)))</f>
        <v>0</v>
      </c>
      <c r="AA139" s="3" t="n">
        <f aca="false">IF(ISBLANK(K139),"",ABS(K139-SUMIFS($K$2:$K$205,$A$2:$A$205,$A139,$B$2:$B$205,$B139,$C$2:$C$205,100)))</f>
        <v>0</v>
      </c>
      <c r="AB139" s="3" t="n">
        <f aca="false">IF(ISBLANK(L139),"",ABS(L139-SUMIFS($L$2:$L$205,$A$2:$A$205,$A139,$B$2:$B$205,$B139,$C$2:$C$205,100)))</f>
        <v>5.82081050026773E-011</v>
      </c>
      <c r="AC139" s="3" t="n">
        <f aca="false">IF(ISBLANK(M139),"",ABS(M139-SUMIFS($M$2:$M$205,$A$2:$A$205,$A139,$B$2:$B$205,$B139,$C$2:$C$205,100)))</f>
        <v>0</v>
      </c>
      <c r="AD139" s="3" t="n">
        <f aca="false">IF(ISBLANK(N139),"",ABS(N139-SUMIFS($N$2:$N$205,$A$2:$A$205,$A139,$B$2:$B$205,$B139,$C$2:$C$205,100)))</f>
        <v>0</v>
      </c>
      <c r="AE139" s="3" t="n">
        <f aca="false">IF(ISBLANK(O139),"",ABS(O139-SUMIFS($O$2:$O$205,$A$2:$A$205,$A139,$B$2:$B$205,$B139,$C$2:$C$205,100)))</f>
        <v>5.82077164246186E-011</v>
      </c>
      <c r="AF139" s="3" t="str">
        <f aca="false">IF(ISBLANK(P139),"",ABS(P139-SUMIFS($P$2:$P$205,$A$2:$A$205,$A139,$B$2:$B$205,$B139,$C$2:$C$205,100)))</f>
        <v/>
      </c>
      <c r="AG139" s="3" t="str">
        <f aca="false">IF(ISBLANK(Q139),"",ABS(Q139-SUMIFS($Q$2:$Q$205,$A$2:$A$205,$A139,$B$2:$B$205,$B139,$C$2:$C$205,100)))</f>
        <v/>
      </c>
      <c r="AH139" s="3" t="str">
        <f aca="false">IF(ISBLANK(R139),"",ABS(R139-SUMIFS($R$2:$R$205,$A$2:$A$205,$A139,$B$2:$B$205,$B139,$C$2:$C$205,100)))</f>
        <v/>
      </c>
      <c r="AI139" s="3" t="str">
        <f aca="false">IF(ISBLANK(S139),"",ABS(S139-SUMIFS($S$2:$S$205,$A$2:$A$205,$A139,$B$2:$B$205,$B139,$C$2:$C$205,100)))</f>
        <v/>
      </c>
      <c r="AJ139" s="3" t="n">
        <f aca="false">MAX(V139:AI139)</f>
        <v>2.3836932427912E-010</v>
      </c>
    </row>
    <row r="140" customFormat="false" ht="15" hidden="false" customHeight="false" outlineLevel="0" collapsed="false">
      <c r="A140" s="4" t="s">
        <v>44</v>
      </c>
      <c r="B140" s="4" t="s">
        <v>38</v>
      </c>
      <c r="C140" s="4" t="n">
        <v>100</v>
      </c>
      <c r="D140" s="5" t="n">
        <v>-3977.58364780245</v>
      </c>
      <c r="E140" s="5" t="n">
        <v>-2.86146178840395</v>
      </c>
      <c r="F140" s="3" t="n">
        <v>-710.397868652979</v>
      </c>
      <c r="G140" s="3" t="n">
        <v>-98.7384665340345</v>
      </c>
      <c r="H140" s="3" t="n">
        <v>-90.9123037348366</v>
      </c>
      <c r="I140" s="3" t="n">
        <v>-16.8650175882456</v>
      </c>
      <c r="J140" s="3" t="n">
        <v>-13.8518184290086</v>
      </c>
      <c r="K140" s="3" t="n">
        <v>-8.34780634884661</v>
      </c>
      <c r="L140" s="3" t="n">
        <v>-2.2643634234564</v>
      </c>
      <c r="M140" s="3" t="n">
        <v>-1.41261796057936</v>
      </c>
      <c r="N140" s="3" t="n">
        <v>-0.179663120248094</v>
      </c>
      <c r="O140" s="3" t="n">
        <v>-0.2066909162703</v>
      </c>
      <c r="P140" s="3"/>
      <c r="Q140" s="3"/>
      <c r="R140" s="3"/>
      <c r="S140" s="3"/>
      <c r="T140" s="3" t="n">
        <f aca="false">ABS(D140-SUMIFS($D$2:$D$205,$A$2:$A$205,$A140,$B$2:$B$205,$B140,$C$2:$C$205,100))</f>
        <v>0</v>
      </c>
      <c r="U140" s="3" t="n">
        <f aca="false">ABS(E140-SUMIFS($E$2:$E$205,$A$2:$A$205,$A140,$B$2:$B$205,$B140,$C$2:$C$205,100))</f>
        <v>0</v>
      </c>
      <c r="V140" s="3" t="n">
        <f aca="false">IF(ISBLANK(F140),"",ABS(F140-SUMIFS($F$2:$F$205,$A$2:$A$205,$A140,$B$2:$B$205,$B140,$C$2:$C$205,100)))</f>
        <v>0</v>
      </c>
      <c r="W140" s="3" t="n">
        <f aca="false">IF(ISBLANK(G140),"",ABS(G140-SUMIFS($G$2:$G$205,$A$2:$A$205,$A140,$B$2:$B$205,$B140,$C$2:$C$205,100)))</f>
        <v>0</v>
      </c>
      <c r="X140" s="3" t="n">
        <f aca="false">IF(ISBLANK(H140),"",ABS(H140-SUMIFS($H$2:$H$205,$A$2:$A$205,$A140,$B$2:$B$205,$B140,$C$2:$C$205,100)))</f>
        <v>0</v>
      </c>
      <c r="Y140" s="3" t="n">
        <f aca="false">IF(ISBLANK(I140),"",ABS(I140-SUMIFS($I$2:$I$205,$A$2:$A$205,$A140,$B$2:$B$205,$B140,$C$2:$C$205,100)))</f>
        <v>0</v>
      </c>
      <c r="Z140" s="3" t="n">
        <f aca="false">IF(ISBLANK(J140),"",ABS(J140-SUMIFS($J$2:$J$205,$A$2:$A$205,$A140,$B$2:$B$205,$B140,$C$2:$C$205,100)))</f>
        <v>0</v>
      </c>
      <c r="AA140" s="3" t="n">
        <f aca="false">IF(ISBLANK(K140),"",ABS(K140-SUMIFS($K$2:$K$205,$A$2:$A$205,$A140,$B$2:$B$205,$B140,$C$2:$C$205,100)))</f>
        <v>0</v>
      </c>
      <c r="AB140" s="3" t="n">
        <f aca="false">IF(ISBLANK(L140),"",ABS(L140-SUMIFS($L$2:$L$205,$A$2:$A$205,$A140,$B$2:$B$205,$B140,$C$2:$C$205,100)))</f>
        <v>0</v>
      </c>
      <c r="AC140" s="3" t="n">
        <f aca="false">IF(ISBLANK(M140),"",ABS(M140-SUMIFS($M$2:$M$205,$A$2:$A$205,$A140,$B$2:$B$205,$B140,$C$2:$C$205,100)))</f>
        <v>0</v>
      </c>
      <c r="AD140" s="3" t="n">
        <f aca="false">IF(ISBLANK(N140),"",ABS(N140-SUMIFS($N$2:$N$205,$A$2:$A$205,$A140,$B$2:$B$205,$B140,$C$2:$C$205,100)))</f>
        <v>0</v>
      </c>
      <c r="AE140" s="3" t="n">
        <f aca="false">IF(ISBLANK(O140),"",ABS(O140-SUMIFS($O$2:$O$205,$A$2:$A$205,$A140,$B$2:$B$205,$B140,$C$2:$C$205,100)))</f>
        <v>0</v>
      </c>
      <c r="AF140" s="3" t="str">
        <f aca="false">IF(ISBLANK(P140),"",ABS(P140-SUMIFS($P$2:$P$205,$A$2:$A$205,$A140,$B$2:$B$205,$B140,$C$2:$C$205,100)))</f>
        <v/>
      </c>
      <c r="AG140" s="3" t="str">
        <f aca="false">IF(ISBLANK(Q140),"",ABS(Q140-SUMIFS($Q$2:$Q$205,$A$2:$A$205,$A140,$B$2:$B$205,$B140,$C$2:$C$205,100)))</f>
        <v/>
      </c>
      <c r="AH140" s="3" t="str">
        <f aca="false">IF(ISBLANK(R140),"",ABS(R140-SUMIFS($R$2:$R$205,$A$2:$A$205,$A140,$B$2:$B$205,$B140,$C$2:$C$205,100)))</f>
        <v/>
      </c>
      <c r="AI140" s="3" t="str">
        <f aca="false">IF(ISBLANK(S140),"",ABS(S140-SUMIFS($S$2:$S$205,$A$2:$A$205,$A140,$B$2:$B$205,$B140,$C$2:$C$205,100)))</f>
        <v/>
      </c>
      <c r="AJ140" s="3" t="n">
        <f aca="false">MAX(V140:AI140)</f>
        <v>0</v>
      </c>
    </row>
    <row r="141" customFormat="false" ht="15" hidden="false" customHeight="false" outlineLevel="0" collapsed="false">
      <c r="A141" s="2" t="s">
        <v>44</v>
      </c>
      <c r="B141" s="2" t="s">
        <v>39</v>
      </c>
      <c r="C141" s="2" t="n">
        <v>5</v>
      </c>
      <c r="D141" s="3" t="n">
        <v>-3976.77313346038</v>
      </c>
      <c r="E141" s="3" t="n">
        <v>-2.05007552071638</v>
      </c>
      <c r="F141" s="3" t="n">
        <v>-710.449065466011</v>
      </c>
      <c r="G141" s="3" t="n">
        <v>-98.7056790695104</v>
      </c>
      <c r="H141" s="3" t="n">
        <v>-90.8743901775012</v>
      </c>
      <c r="I141" s="3" t="n">
        <v>-16.8352142499019</v>
      </c>
      <c r="J141" s="3" t="n">
        <v>-13.8186619190757</v>
      </c>
      <c r="K141" s="3" t="n">
        <v>-8.30941462615754</v>
      </c>
      <c r="L141" s="3" t="n">
        <v>-2.25158259026961</v>
      </c>
      <c r="M141" s="3" t="n">
        <v>-1.40360696764202</v>
      </c>
      <c r="N141" s="3" t="n">
        <v>-0.175890833081535</v>
      </c>
      <c r="O141" s="3" t="n">
        <v>-0.181910969182382</v>
      </c>
      <c r="P141" s="3"/>
      <c r="Q141" s="3"/>
      <c r="R141" s="3"/>
      <c r="S141" s="3"/>
      <c r="T141" s="3" t="n">
        <f aca="false">ABS(D141-SUMIFS($D$2:$D$205,$A$2:$A$205,$A141,$B$2:$B$205,$B141,$C$2:$C$205,100))</f>
        <v>0.810514342058013</v>
      </c>
      <c r="U141" s="3" t="n">
        <f aca="false">ABS(E141-SUMIFS($E$2:$E$205,$A$2:$A$205,$A141,$B$2:$B$205,$B141,$C$2:$C$205,100))</f>
        <v>0.811386267687107</v>
      </c>
      <c r="V141" s="3" t="n">
        <f aca="false">IF(ISBLANK(F141),"",ABS(F141-SUMIFS($F$2:$F$205,$A$2:$A$205,$A141,$B$2:$B$205,$B141,$C$2:$C$205,100)))</f>
        <v>0.0511968130319929</v>
      </c>
      <c r="W141" s="3" t="n">
        <f aca="false">IF(ISBLANK(G141),"",ABS(G141-SUMIFS($G$2:$G$205,$A$2:$A$205,$A141,$B$2:$B$205,$B141,$C$2:$C$205,100)))</f>
        <v>0.0327874645241195</v>
      </c>
      <c r="X141" s="3" t="n">
        <f aca="false">IF(ISBLANK(H141),"",ABS(H141-SUMIFS($H$2:$H$205,$A$2:$A$205,$A141,$B$2:$B$205,$B141,$C$2:$C$205,100)))</f>
        <v>0.0379135574303575</v>
      </c>
      <c r="Y141" s="3" t="n">
        <f aca="false">IF(ISBLANK(I141),"",ABS(I141-SUMIFS($I$2:$I$205,$A$2:$A$205,$A141,$B$2:$B$205,$B141,$C$2:$C$205,100)))</f>
        <v>0.029803338343708</v>
      </c>
      <c r="Z141" s="3" t="n">
        <f aca="false">IF(ISBLANK(J141),"",ABS(J141-SUMIFS($J$2:$J$205,$A$2:$A$205,$A141,$B$2:$B$205,$B141,$C$2:$C$205,100)))</f>
        <v>0.0331565100278013</v>
      </c>
      <c r="AA141" s="3" t="n">
        <f aca="false">IF(ISBLANK(K141),"",ABS(K141-SUMIFS($K$2:$K$205,$A$2:$A$205,$A141,$B$2:$B$205,$B141,$C$2:$C$205,100)))</f>
        <v>0.0383917226890702</v>
      </c>
      <c r="AB141" s="3" t="n">
        <f aca="false">IF(ISBLANK(L141),"",ABS(L141-SUMIFS($L$2:$L$205,$A$2:$A$205,$A141,$B$2:$B$205,$B141,$C$2:$C$205,100)))</f>
        <v>0.0127808331867882</v>
      </c>
      <c r="AC141" s="3" t="n">
        <f aca="false">IF(ISBLANK(M141),"",ABS(M141-SUMIFS($M$2:$M$205,$A$2:$A$205,$A141,$B$2:$B$205,$B141,$C$2:$C$205,100)))</f>
        <v>0.00901099303226882</v>
      </c>
      <c r="AD141" s="3" t="n">
        <f aca="false">IF(ISBLANK(N141),"",ABS(N141-SUMIFS($N$2:$N$205,$A$2:$A$205,$A141,$B$2:$B$205,$B141,$C$2:$C$205,100)))</f>
        <v>0.003772287166559</v>
      </c>
      <c r="AE141" s="3" t="n">
        <f aca="false">IF(ISBLANK(O141),"",ABS(O141-SUMIFS($O$2:$O$205,$A$2:$A$205,$A141,$B$2:$B$205,$B141,$C$2:$C$205,100)))</f>
        <v>0.0247799470879173</v>
      </c>
      <c r="AF141" s="3" t="str">
        <f aca="false">IF(ISBLANK(P141),"",ABS(P141-SUMIFS($P$2:$P$205,$A$2:$A$205,$A141,$B$2:$B$205,$B141,$C$2:$C$205,100)))</f>
        <v/>
      </c>
      <c r="AG141" s="3" t="str">
        <f aca="false">IF(ISBLANK(Q141),"",ABS(Q141-SUMIFS($Q$2:$Q$205,$A$2:$A$205,$A141,$B$2:$B$205,$B141,$C$2:$C$205,100)))</f>
        <v/>
      </c>
      <c r="AH141" s="3" t="str">
        <f aca="false">IF(ISBLANK(R141),"",ABS(R141-SUMIFS($R$2:$R$205,$A$2:$A$205,$A141,$B$2:$B$205,$B141,$C$2:$C$205,100)))</f>
        <v/>
      </c>
      <c r="AI141" s="3" t="str">
        <f aca="false">IF(ISBLANK(S141),"",ABS(S141-SUMIFS($S$2:$S$205,$A$2:$A$205,$A141,$B$2:$B$205,$B141,$C$2:$C$205,100)))</f>
        <v/>
      </c>
      <c r="AJ141" s="3" t="n">
        <f aca="false">MAX(V141:AI141)</f>
        <v>0.0511968130319929</v>
      </c>
    </row>
    <row r="142" customFormat="false" ht="15" hidden="false" customHeight="false" outlineLevel="0" collapsed="false">
      <c r="A142" s="2" t="s">
        <v>44</v>
      </c>
      <c r="B142" s="2" t="s">
        <v>39</v>
      </c>
      <c r="C142" s="2" t="n">
        <v>10</v>
      </c>
      <c r="D142" s="3" t="n">
        <v>-3977.52173320204</v>
      </c>
      <c r="E142" s="3" t="n">
        <v>-2.80286738063727</v>
      </c>
      <c r="F142" s="3" t="n">
        <v>-710.401898941842</v>
      </c>
      <c r="G142" s="3" t="n">
        <v>-98.7337802030843</v>
      </c>
      <c r="H142" s="3" t="n">
        <v>-90.9236932486174</v>
      </c>
      <c r="I142" s="3" t="n">
        <v>-16.8276802163779</v>
      </c>
      <c r="J142" s="3" t="n">
        <v>-13.8151421738031</v>
      </c>
      <c r="K142" s="3" t="n">
        <v>-8.30807111285634</v>
      </c>
      <c r="L142" s="3" t="n">
        <v>-2.26310977408568</v>
      </c>
      <c r="M142" s="3" t="n">
        <v>-1.41072893574684</v>
      </c>
      <c r="N142" s="3" t="n">
        <v>-0.178231175548495</v>
      </c>
      <c r="O142" s="3" t="n">
        <v>-0.206930032891078</v>
      </c>
      <c r="P142" s="3"/>
      <c r="Q142" s="3"/>
      <c r="R142" s="3"/>
      <c r="S142" s="3"/>
      <c r="T142" s="3" t="n">
        <f aca="false">ABS(D142-SUMIFS($D$2:$D$205,$A$2:$A$205,$A142,$B$2:$B$205,$B142,$C$2:$C$205,100))</f>
        <v>0.0619146004028153</v>
      </c>
      <c r="U142" s="3" t="n">
        <f aca="false">ABS(E142-SUMIFS($E$2:$E$205,$A$2:$A$205,$A142,$B$2:$B$205,$B142,$C$2:$C$205,100))</f>
        <v>0.058594407766221</v>
      </c>
      <c r="V142" s="3" t="n">
        <f aca="false">IF(ISBLANK(F142),"",ABS(F142-SUMIFS($F$2:$F$205,$A$2:$A$205,$A142,$B$2:$B$205,$B142,$C$2:$C$205,100)))</f>
        <v>0.00403028886330503</v>
      </c>
      <c r="W142" s="3" t="n">
        <f aca="false">IF(ISBLANK(G142),"",ABS(G142-SUMIFS($G$2:$G$205,$A$2:$A$205,$A142,$B$2:$B$205,$B142,$C$2:$C$205,100)))</f>
        <v>0.00468633095016457</v>
      </c>
      <c r="X142" s="3" t="n">
        <f aca="false">IF(ISBLANK(H142),"",ABS(H142-SUMIFS($H$2:$H$205,$A$2:$A$205,$A142,$B$2:$B$205,$B142,$C$2:$C$205,100)))</f>
        <v>0.0113895136858844</v>
      </c>
      <c r="Y142" s="3" t="n">
        <f aca="false">IF(ISBLANK(I142),"",ABS(I142-SUMIFS($I$2:$I$205,$A$2:$A$205,$A142,$B$2:$B$205,$B142,$C$2:$C$205,100)))</f>
        <v>0.0373373718676895</v>
      </c>
      <c r="Z142" s="3" t="n">
        <f aca="false">IF(ISBLANK(J142),"",ABS(J142-SUMIFS($J$2:$J$205,$A$2:$A$205,$A142,$B$2:$B$205,$B142,$C$2:$C$205,100)))</f>
        <v>0.0366762553003799</v>
      </c>
      <c r="AA142" s="3" t="n">
        <f aca="false">IF(ISBLANK(K142),"",ABS(K142-SUMIFS($K$2:$K$205,$A$2:$A$205,$A142,$B$2:$B$205,$B142,$C$2:$C$205,100)))</f>
        <v>0.0397352359902676</v>
      </c>
      <c r="AB142" s="3" t="n">
        <f aca="false">IF(ISBLANK(L142),"",ABS(L142-SUMIFS($L$2:$L$205,$A$2:$A$205,$A142,$B$2:$B$205,$B142,$C$2:$C$205,100)))</f>
        <v>0.00125364937071604</v>
      </c>
      <c r="AC142" s="3" t="n">
        <f aca="false">IF(ISBLANK(M142),"",ABS(M142-SUMIFS($M$2:$M$205,$A$2:$A$205,$A142,$B$2:$B$205,$B142,$C$2:$C$205,100)))</f>
        <v>0.0018890249274468</v>
      </c>
      <c r="AD142" s="3" t="n">
        <f aca="false">IF(ISBLANK(N142),"",ABS(N142-SUMIFS($N$2:$N$205,$A$2:$A$205,$A142,$B$2:$B$205,$B142,$C$2:$C$205,100)))</f>
        <v>0.00143194469959909</v>
      </c>
      <c r="AE142" s="3" t="n">
        <f aca="false">IF(ISBLANK(O142),"",ABS(O142-SUMIFS($O$2:$O$205,$A$2:$A$205,$A142,$B$2:$B$205,$B142,$C$2:$C$205,100)))</f>
        <v>0.000239116620778301</v>
      </c>
      <c r="AF142" s="3" t="str">
        <f aca="false">IF(ISBLANK(P142),"",ABS(P142-SUMIFS($P$2:$P$205,$A$2:$A$205,$A142,$B$2:$B$205,$B142,$C$2:$C$205,100)))</f>
        <v/>
      </c>
      <c r="AG142" s="3" t="str">
        <f aca="false">IF(ISBLANK(Q142),"",ABS(Q142-SUMIFS($Q$2:$Q$205,$A$2:$A$205,$A142,$B$2:$B$205,$B142,$C$2:$C$205,100)))</f>
        <v/>
      </c>
      <c r="AH142" s="3" t="str">
        <f aca="false">IF(ISBLANK(R142),"",ABS(R142-SUMIFS($R$2:$R$205,$A$2:$A$205,$A142,$B$2:$B$205,$B142,$C$2:$C$205,100)))</f>
        <v/>
      </c>
      <c r="AI142" s="3" t="str">
        <f aca="false">IF(ISBLANK(S142),"",ABS(S142-SUMIFS($S$2:$S$205,$A$2:$A$205,$A142,$B$2:$B$205,$B142,$C$2:$C$205,100)))</f>
        <v/>
      </c>
      <c r="AJ142" s="3" t="n">
        <f aca="false">MAX(V142:AI142)</f>
        <v>0.0397352359902676</v>
      </c>
    </row>
    <row r="143" customFormat="false" ht="15" hidden="false" customHeight="false" outlineLevel="0" collapsed="false">
      <c r="A143" s="2" t="s">
        <v>44</v>
      </c>
      <c r="B143" s="2" t="s">
        <v>39</v>
      </c>
      <c r="C143" s="2" t="n">
        <v>15</v>
      </c>
      <c r="D143" s="3" t="n">
        <v>-3977.62891779495</v>
      </c>
      <c r="E143" s="3" t="n">
        <v>-2.90661150803331</v>
      </c>
      <c r="F143" s="3" t="n">
        <v>-710.425120355895</v>
      </c>
      <c r="G143" s="3" t="n">
        <v>-98.7566553674662</v>
      </c>
      <c r="H143" s="3" t="n">
        <v>-90.9323650247139</v>
      </c>
      <c r="I143" s="3" t="n">
        <v>-16.8812591747297</v>
      </c>
      <c r="J143" s="3" t="n">
        <v>-13.8674380729757</v>
      </c>
      <c r="K143" s="3" t="n">
        <v>-8.36162647887739</v>
      </c>
      <c r="L143" s="3" t="n">
        <v>-2.26277644197828</v>
      </c>
      <c r="M143" s="3" t="n">
        <v>-1.41110833696594</v>
      </c>
      <c r="N143" s="3" t="n">
        <v>-0.178166111891328</v>
      </c>
      <c r="O143" s="3" t="n">
        <v>-0.205219047543735</v>
      </c>
      <c r="P143" s="3"/>
      <c r="Q143" s="3"/>
      <c r="R143" s="3"/>
      <c r="S143" s="3"/>
      <c r="T143" s="3" t="n">
        <f aca="false">ABS(D143-SUMIFS($D$2:$D$205,$A$2:$A$205,$A143,$B$2:$B$205,$B143,$C$2:$C$205,100))</f>
        <v>0.0452699925140223</v>
      </c>
      <c r="U143" s="3" t="n">
        <f aca="false">ABS(E143-SUMIFS($E$2:$E$205,$A$2:$A$205,$A143,$B$2:$B$205,$B143,$C$2:$C$205,100))</f>
        <v>0.0451497196298232</v>
      </c>
      <c r="V143" s="3" t="n">
        <f aca="false">IF(ISBLANK(F143),"",ABS(F143-SUMIFS($F$2:$F$205,$A$2:$A$205,$A143,$B$2:$B$205,$B143,$C$2:$C$205,100)))</f>
        <v>0.0272517029163737</v>
      </c>
      <c r="W143" s="3" t="n">
        <f aca="false">IF(ISBLANK(G143),"",ABS(G143-SUMIFS($G$2:$G$205,$A$2:$A$205,$A143,$B$2:$B$205,$B143,$C$2:$C$205,100)))</f>
        <v>0.0181888334316795</v>
      </c>
      <c r="X143" s="3" t="n">
        <f aca="false">IF(ISBLANK(H143),"",ABS(H143-SUMIFS($H$2:$H$205,$A$2:$A$205,$A143,$B$2:$B$205,$B143,$C$2:$C$205,100)))</f>
        <v>0.020061289782376</v>
      </c>
      <c r="Y143" s="3" t="n">
        <f aca="false">IF(ISBLANK(I143),"",ABS(I143-SUMIFS($I$2:$I$205,$A$2:$A$205,$A143,$B$2:$B$205,$B143,$C$2:$C$205,100)))</f>
        <v>0.0162415864840817</v>
      </c>
      <c r="Z143" s="3" t="n">
        <f aca="false">IF(ISBLANK(J143),"",ABS(J143-SUMIFS($J$2:$J$205,$A$2:$A$205,$A143,$B$2:$B$205,$B143,$C$2:$C$205,100)))</f>
        <v>0.0156196438721299</v>
      </c>
      <c r="AA143" s="3" t="n">
        <f aca="false">IF(ISBLANK(K143),"",ABS(K143-SUMIFS($K$2:$K$205,$A$2:$A$205,$A143,$B$2:$B$205,$B143,$C$2:$C$205,100)))</f>
        <v>0.0138201300307745</v>
      </c>
      <c r="AB143" s="3" t="n">
        <f aca="false">IF(ISBLANK(L143),"",ABS(L143-SUMIFS($L$2:$L$205,$A$2:$A$205,$A143,$B$2:$B$205,$B143,$C$2:$C$205,100)))</f>
        <v>0.00158698147811487</v>
      </c>
      <c r="AC143" s="3" t="n">
        <f aca="false">IF(ISBLANK(M143),"",ABS(M143-SUMIFS($M$2:$M$205,$A$2:$A$205,$A143,$B$2:$B$205,$B143,$C$2:$C$205,100)))</f>
        <v>0.00150962370834695</v>
      </c>
      <c r="AD143" s="3" t="n">
        <f aca="false">IF(ISBLANK(N143),"",ABS(N143-SUMIFS($N$2:$N$205,$A$2:$A$205,$A143,$B$2:$B$205,$B143,$C$2:$C$205,100)))</f>
        <v>0.00149700835676578</v>
      </c>
      <c r="AE143" s="3" t="n">
        <f aca="false">IF(ISBLANK(O143),"",ABS(O143-SUMIFS($O$2:$O$205,$A$2:$A$205,$A143,$B$2:$B$205,$B143,$C$2:$C$205,100)))</f>
        <v>0.0014718687265646</v>
      </c>
      <c r="AF143" s="3" t="str">
        <f aca="false">IF(ISBLANK(P143),"",ABS(P143-SUMIFS($P$2:$P$205,$A$2:$A$205,$A143,$B$2:$B$205,$B143,$C$2:$C$205,100)))</f>
        <v/>
      </c>
      <c r="AG143" s="3" t="str">
        <f aca="false">IF(ISBLANK(Q143),"",ABS(Q143-SUMIFS($Q$2:$Q$205,$A$2:$A$205,$A143,$B$2:$B$205,$B143,$C$2:$C$205,100)))</f>
        <v/>
      </c>
      <c r="AH143" s="3" t="str">
        <f aca="false">IF(ISBLANK(R143),"",ABS(R143-SUMIFS($R$2:$R$205,$A$2:$A$205,$A143,$B$2:$B$205,$B143,$C$2:$C$205,100)))</f>
        <v/>
      </c>
      <c r="AI143" s="3" t="str">
        <f aca="false">IF(ISBLANK(S143),"",ABS(S143-SUMIFS($S$2:$S$205,$A$2:$A$205,$A143,$B$2:$B$205,$B143,$C$2:$C$205,100)))</f>
        <v/>
      </c>
      <c r="AJ143" s="3" t="n">
        <f aca="false">MAX(V143:AI143)</f>
        <v>0.0272517029163737</v>
      </c>
    </row>
    <row r="144" customFormat="false" ht="15" hidden="false" customHeight="false" outlineLevel="0" collapsed="false">
      <c r="A144" s="2" t="s">
        <v>44</v>
      </c>
      <c r="B144" s="2" t="s">
        <v>39</v>
      </c>
      <c r="C144" s="2" t="n">
        <v>20</v>
      </c>
      <c r="D144" s="3" t="n">
        <v>-3977.59069566617</v>
      </c>
      <c r="E144" s="3" t="n">
        <v>-2.86839655876659</v>
      </c>
      <c r="F144" s="3" t="n">
        <v>-710.397610784308</v>
      </c>
      <c r="G144" s="3" t="n">
        <v>-98.7394038557833</v>
      </c>
      <c r="H144" s="3" t="n">
        <v>-90.9133813308131</v>
      </c>
      <c r="I144" s="3" t="n">
        <v>-16.8653883425339</v>
      </c>
      <c r="J144" s="3" t="n">
        <v>-13.8520686769726</v>
      </c>
      <c r="K144" s="3" t="n">
        <v>-8.34790461475438</v>
      </c>
      <c r="L144" s="3" t="n">
        <v>-2.26356571455913</v>
      </c>
      <c r="M144" s="3" t="n">
        <v>-1.41185226046143</v>
      </c>
      <c r="N144" s="3" t="n">
        <v>-0.178841113579419</v>
      </c>
      <c r="O144" s="3" t="n">
        <v>-0.205838720542516</v>
      </c>
      <c r="P144" s="3"/>
      <c r="Q144" s="3"/>
      <c r="R144" s="3"/>
      <c r="S144" s="3"/>
      <c r="T144" s="3" t="n">
        <f aca="false">ABS(D144-SUMIFS($D$2:$D$205,$A$2:$A$205,$A144,$B$2:$B$205,$B144,$C$2:$C$205,100))</f>
        <v>0.00704786373216848</v>
      </c>
      <c r="U144" s="3" t="n">
        <f aca="false">ABS(E144-SUMIFS($E$2:$E$205,$A$2:$A$205,$A144,$B$2:$B$205,$B144,$C$2:$C$205,100))</f>
        <v>0.0069347703631002</v>
      </c>
      <c r="V144" s="3" t="n">
        <f aca="false">IF(ISBLANK(F144),"",ABS(F144-SUMIFS($F$2:$F$205,$A$2:$A$205,$A144,$B$2:$B$205,$B144,$C$2:$C$205,100)))</f>
        <v>0.00025786867036004</v>
      </c>
      <c r="W144" s="3" t="n">
        <f aca="false">IF(ISBLANK(G144),"",ABS(G144-SUMIFS($G$2:$G$205,$A$2:$A$205,$A144,$B$2:$B$205,$B144,$C$2:$C$205,100)))</f>
        <v>0.000937321748850195</v>
      </c>
      <c r="X144" s="3" t="n">
        <f aca="false">IF(ISBLANK(H144),"",ABS(H144-SUMIFS($H$2:$H$205,$A$2:$A$205,$A144,$B$2:$B$205,$B144,$C$2:$C$205,100)))</f>
        <v>0.00107759588155432</v>
      </c>
      <c r="Y144" s="3" t="n">
        <f aca="false">IF(ISBLANK(I144),"",ABS(I144-SUMIFS($I$2:$I$205,$A$2:$A$205,$A144,$B$2:$B$205,$B144,$C$2:$C$205,100)))</f>
        <v>0.000370754288329778</v>
      </c>
      <c r="Z144" s="3" t="n">
        <f aca="false">IF(ISBLANK(J144),"",ABS(J144-SUMIFS($J$2:$J$205,$A$2:$A$205,$A144,$B$2:$B$205,$B144,$C$2:$C$205,100)))</f>
        <v>0.000250247869090003</v>
      </c>
      <c r="AA144" s="3" t="n">
        <f aca="false">IF(ISBLANK(K144),"",ABS(K144-SUMIFS($K$2:$K$205,$A$2:$A$205,$A144,$B$2:$B$205,$B144,$C$2:$C$205,100)))</f>
        <v>9.82659077664039E-005</v>
      </c>
      <c r="AB144" s="3" t="n">
        <f aca="false">IF(ISBLANK(L144),"",ABS(L144-SUMIFS($L$2:$L$205,$A$2:$A$205,$A144,$B$2:$B$205,$B144,$C$2:$C$205,100)))</f>
        <v>0.00079770889726527</v>
      </c>
      <c r="AC144" s="3" t="n">
        <f aca="false">IF(ISBLANK(M144),"",ABS(M144-SUMIFS($M$2:$M$205,$A$2:$A$205,$A144,$B$2:$B$205,$B144,$C$2:$C$205,100)))</f>
        <v>0.000765700212857823</v>
      </c>
      <c r="AD144" s="3" t="n">
        <f aca="false">IF(ISBLANK(N144),"",ABS(N144-SUMIFS($N$2:$N$205,$A$2:$A$205,$A144,$B$2:$B$205,$B144,$C$2:$C$205,100)))</f>
        <v>0.000822006668674796</v>
      </c>
      <c r="AE144" s="3" t="n">
        <f aca="false">IF(ISBLANK(O144),"",ABS(O144-SUMIFS($O$2:$O$205,$A$2:$A$205,$A144,$B$2:$B$205,$B144,$C$2:$C$205,100)))</f>
        <v>0.000852195727783306</v>
      </c>
      <c r="AF144" s="3" t="str">
        <f aca="false">IF(ISBLANK(P144),"",ABS(P144-SUMIFS($P$2:$P$205,$A$2:$A$205,$A144,$B$2:$B$205,$B144,$C$2:$C$205,100)))</f>
        <v/>
      </c>
      <c r="AG144" s="3" t="str">
        <f aca="false">IF(ISBLANK(Q144),"",ABS(Q144-SUMIFS($Q$2:$Q$205,$A$2:$A$205,$A144,$B$2:$B$205,$B144,$C$2:$C$205,100)))</f>
        <v/>
      </c>
      <c r="AH144" s="3" t="str">
        <f aca="false">IF(ISBLANK(R144),"",ABS(R144-SUMIFS($R$2:$R$205,$A$2:$A$205,$A144,$B$2:$B$205,$B144,$C$2:$C$205,100)))</f>
        <v/>
      </c>
      <c r="AI144" s="3" t="str">
        <f aca="false">IF(ISBLANK(S144),"",ABS(S144-SUMIFS($S$2:$S$205,$A$2:$A$205,$A144,$B$2:$B$205,$B144,$C$2:$C$205,100)))</f>
        <v/>
      </c>
      <c r="AJ144" s="3" t="n">
        <f aca="false">MAX(V144:AI144)</f>
        <v>0.00107759588155432</v>
      </c>
    </row>
    <row r="145" customFormat="false" ht="15" hidden="false" customHeight="false" outlineLevel="0" collapsed="false">
      <c r="A145" s="2" t="s">
        <v>44</v>
      </c>
      <c r="B145" s="2" t="s">
        <v>39</v>
      </c>
      <c r="C145" s="2" t="n">
        <v>30</v>
      </c>
      <c r="D145" s="3" t="n">
        <v>-3977.58378908761</v>
      </c>
      <c r="E145" s="3" t="n">
        <v>-2.86160813718381</v>
      </c>
      <c r="F145" s="3" t="n">
        <v>-710.39795198062</v>
      </c>
      <c r="G145" s="3" t="n">
        <v>-98.7384156038393</v>
      </c>
      <c r="H145" s="3" t="n">
        <v>-90.9122327773731</v>
      </c>
      <c r="I145" s="3" t="n">
        <v>-16.8649681905428</v>
      </c>
      <c r="J145" s="3" t="n">
        <v>-13.8517701624383</v>
      </c>
      <c r="K145" s="3" t="n">
        <v>-8.34776662312234</v>
      </c>
      <c r="L145" s="3" t="n">
        <v>-2.26434426500619</v>
      </c>
      <c r="M145" s="3" t="n">
        <v>-1.41259502777517</v>
      </c>
      <c r="N145" s="3" t="n">
        <v>-0.179637398541465</v>
      </c>
      <c r="O145" s="3" t="n">
        <v>-0.206668757395999</v>
      </c>
      <c r="P145" s="3"/>
      <c r="Q145" s="3"/>
      <c r="R145" s="3"/>
      <c r="S145" s="3"/>
      <c r="T145" s="3" t="n">
        <f aca="false">ABS(D145-SUMIFS($D$2:$D$205,$A$2:$A$205,$A145,$B$2:$B$205,$B145,$C$2:$C$205,100))</f>
        <v>0.000141285169320327</v>
      </c>
      <c r="U145" s="3" t="n">
        <f aca="false">ABS(E145-SUMIFS($E$2:$E$205,$A$2:$A$205,$A145,$B$2:$B$205,$B145,$C$2:$C$205,100))</f>
        <v>0.000146348780321937</v>
      </c>
      <c r="V145" s="3" t="n">
        <f aca="false">IF(ISBLANK(F145),"",ABS(F145-SUMIFS($F$2:$F$205,$A$2:$A$205,$A145,$B$2:$B$205,$B145,$C$2:$C$205,100)))</f>
        <v>8.33276415050932E-005</v>
      </c>
      <c r="W145" s="3" t="n">
        <f aca="false">IF(ISBLANK(G145),"",ABS(G145-SUMIFS($G$2:$G$205,$A$2:$A$205,$A145,$B$2:$B$205,$B145,$C$2:$C$205,100)))</f>
        <v>5.09301951581165E-005</v>
      </c>
      <c r="X145" s="3" t="n">
        <f aca="false">IF(ISBLANK(H145),"",ABS(H145-SUMIFS($H$2:$H$205,$A$2:$A$205,$A145,$B$2:$B$205,$B145,$C$2:$C$205,100)))</f>
        <v>7.09575584778577E-005</v>
      </c>
      <c r="Y145" s="3" t="n">
        <f aca="false">IF(ISBLANK(I145),"",ABS(I145-SUMIFS($I$2:$I$205,$A$2:$A$205,$A145,$B$2:$B$205,$B145,$C$2:$C$205,100)))</f>
        <v>4.93977028312997E-005</v>
      </c>
      <c r="Z145" s="3" t="n">
        <f aca="false">IF(ISBLANK(J145),"",ABS(J145-SUMIFS($J$2:$J$205,$A$2:$A$205,$A145,$B$2:$B$205,$B145,$C$2:$C$205,100)))</f>
        <v>4.82666652299457E-005</v>
      </c>
      <c r="AA145" s="3" t="n">
        <f aca="false">IF(ISBLANK(K145),"",ABS(K145-SUMIFS($K$2:$K$205,$A$2:$A$205,$A145,$B$2:$B$205,$B145,$C$2:$C$205,100)))</f>
        <v>3.97257242745752E-005</v>
      </c>
      <c r="AB145" s="3" t="n">
        <f aca="false">IF(ISBLANK(L145),"",ABS(L145-SUMIFS($L$2:$L$205,$A$2:$A$205,$A145,$B$2:$B$205,$B145,$C$2:$C$205,100)))</f>
        <v>1.91584502071684E-005</v>
      </c>
      <c r="AC145" s="3" t="n">
        <f aca="false">IF(ISBLANK(M145),"",ABS(M145-SUMIFS($M$2:$M$205,$A$2:$A$205,$A145,$B$2:$B$205,$B145,$C$2:$C$205,100)))</f>
        <v>2.29328991168121E-005</v>
      </c>
      <c r="AD145" s="3" t="n">
        <f aca="false">IF(ISBLANK(N145),"",ABS(N145-SUMIFS($N$2:$N$205,$A$2:$A$205,$A145,$B$2:$B$205,$B145,$C$2:$C$205,100)))</f>
        <v>2.57217066286786E-005</v>
      </c>
      <c r="AE145" s="3" t="n">
        <f aca="false">IF(ISBLANK(O145),"",ABS(O145-SUMIFS($O$2:$O$205,$A$2:$A$205,$A145,$B$2:$B$205,$B145,$C$2:$C$205,100)))</f>
        <v>2.21588743000989E-005</v>
      </c>
      <c r="AF145" s="3" t="str">
        <f aca="false">IF(ISBLANK(P145),"",ABS(P145-SUMIFS($P$2:$P$205,$A$2:$A$205,$A145,$B$2:$B$205,$B145,$C$2:$C$205,100)))</f>
        <v/>
      </c>
      <c r="AG145" s="3" t="str">
        <f aca="false">IF(ISBLANK(Q145),"",ABS(Q145-SUMIFS($Q$2:$Q$205,$A$2:$A$205,$A145,$B$2:$B$205,$B145,$C$2:$C$205,100)))</f>
        <v/>
      </c>
      <c r="AH145" s="3" t="str">
        <f aca="false">IF(ISBLANK(R145),"",ABS(R145-SUMIFS($R$2:$R$205,$A$2:$A$205,$A145,$B$2:$B$205,$B145,$C$2:$C$205,100)))</f>
        <v/>
      </c>
      <c r="AI145" s="3" t="str">
        <f aca="false">IF(ISBLANK(S145),"",ABS(S145-SUMIFS($S$2:$S$205,$A$2:$A$205,$A145,$B$2:$B$205,$B145,$C$2:$C$205,100)))</f>
        <v/>
      </c>
      <c r="AJ145" s="3" t="n">
        <f aca="false">MAX(V145:AI145)</f>
        <v>8.33276415050932E-005</v>
      </c>
    </row>
    <row r="146" customFormat="false" ht="15" hidden="false" customHeight="false" outlineLevel="0" collapsed="false">
      <c r="A146" s="2" t="s">
        <v>44</v>
      </c>
      <c r="B146" s="2" t="s">
        <v>39</v>
      </c>
      <c r="C146" s="2" t="n">
        <v>50</v>
      </c>
      <c r="D146" s="3" t="n">
        <v>-3977.58364756969</v>
      </c>
      <c r="E146" s="3" t="n">
        <v>-2.86146155281677</v>
      </c>
      <c r="F146" s="3" t="n">
        <v>-710.397867450562</v>
      </c>
      <c r="G146" s="3" t="n">
        <v>-98.7384660057948</v>
      </c>
      <c r="H146" s="3" t="n">
        <v>-90.9123031437604</v>
      </c>
      <c r="I146" s="3" t="n">
        <v>-16.8650174722576</v>
      </c>
      <c r="J146" s="3" t="n">
        <v>-13.8518183221757</v>
      </c>
      <c r="K146" s="3" t="n">
        <v>-8.34780625425406</v>
      </c>
      <c r="L146" s="3" t="n">
        <v>-2.26436318498258</v>
      </c>
      <c r="M146" s="3" t="n">
        <v>-1.4126177241456</v>
      </c>
      <c r="N146" s="3" t="n">
        <v>-0.179662891447177</v>
      </c>
      <c r="O146" s="3" t="n">
        <v>-0.2066906828385</v>
      </c>
      <c r="P146" s="3"/>
      <c r="Q146" s="3"/>
      <c r="R146" s="3"/>
      <c r="S146" s="3"/>
      <c r="T146" s="3" t="n">
        <f aca="false">ABS(D146-SUMIFS($D$2:$D$205,$A$2:$A$205,$A146,$B$2:$B$205,$B146,$C$2:$C$205,100))</f>
        <v>2.32752881856868E-007</v>
      </c>
      <c r="U146" s="3" t="n">
        <f aca="false">ABS(E146-SUMIFS($E$2:$E$205,$A$2:$A$205,$A146,$B$2:$B$205,$B146,$C$2:$C$205,100))</f>
        <v>2.35586723906778E-007</v>
      </c>
      <c r="V146" s="3" t="n">
        <f aca="false">IF(ISBLANK(F146),"",ABS(F146-SUMIFS($F$2:$F$205,$A$2:$A$205,$A146,$B$2:$B$205,$B146,$C$2:$C$205,100)))</f>
        <v>1.20241679724131E-006</v>
      </c>
      <c r="W146" s="3" t="n">
        <f aca="false">IF(ISBLANK(G146),"",ABS(G146-SUMIFS($G$2:$G$205,$A$2:$A$205,$A146,$B$2:$B$205,$B146,$C$2:$C$205,100)))</f>
        <v>5.28239723962543E-007</v>
      </c>
      <c r="X146" s="3" t="n">
        <f aca="false">IF(ISBLANK(H146),"",ABS(H146-SUMIFS($H$2:$H$205,$A$2:$A$205,$A146,$B$2:$B$205,$B146,$C$2:$C$205,100)))</f>
        <v>5.91171101405053E-007</v>
      </c>
      <c r="Y146" s="3" t="n">
        <f aca="false">IF(ISBLANK(I146),"",ABS(I146-SUMIFS($I$2:$I$205,$A$2:$A$205,$A146,$B$2:$B$205,$B146,$C$2:$C$205,100)))</f>
        <v>1.15988029847358E-007</v>
      </c>
      <c r="Z146" s="3" t="n">
        <f aca="false">IF(ISBLANK(J146),"",ABS(J146-SUMIFS($J$2:$J$205,$A$2:$A$205,$A146,$B$2:$B$205,$B146,$C$2:$C$205,100)))</f>
        <v>1.06927860343831E-007</v>
      </c>
      <c r="AA146" s="3" t="n">
        <f aca="false">IF(ISBLANK(K146),"",ABS(K146-SUMIFS($K$2:$K$205,$A$2:$A$205,$A146,$B$2:$B$205,$B146,$C$2:$C$205,100)))</f>
        <v>9.45925471285136E-008</v>
      </c>
      <c r="AB146" s="3" t="n">
        <f aca="false">IF(ISBLANK(L146),"",ABS(L146-SUMIFS($L$2:$L$205,$A$2:$A$205,$A146,$B$2:$B$205,$B146,$C$2:$C$205,100)))</f>
        <v>2.38473820246554E-007</v>
      </c>
      <c r="AC146" s="3" t="n">
        <f aca="false">IF(ISBLANK(M146),"",ABS(M146-SUMIFS($M$2:$M$205,$A$2:$A$205,$A146,$B$2:$B$205,$B146,$C$2:$C$205,100)))</f>
        <v>2.36528693964289E-007</v>
      </c>
      <c r="AD146" s="3" t="n">
        <f aca="false">IF(ISBLANK(N146),"",ABS(N146-SUMIFS($N$2:$N$205,$A$2:$A$205,$A146,$B$2:$B$205,$B146,$C$2:$C$205,100)))</f>
        <v>2.28800916796112E-007</v>
      </c>
      <c r="AE146" s="3" t="n">
        <f aca="false">IF(ISBLANK(O146),"",ABS(O146-SUMIFS($O$2:$O$205,$A$2:$A$205,$A146,$B$2:$B$205,$B146,$C$2:$C$205,100)))</f>
        <v>2.33431799612216E-007</v>
      </c>
      <c r="AF146" s="3" t="str">
        <f aca="false">IF(ISBLANK(P146),"",ABS(P146-SUMIFS($P$2:$P$205,$A$2:$A$205,$A146,$B$2:$B$205,$B146,$C$2:$C$205,100)))</f>
        <v/>
      </c>
      <c r="AG146" s="3" t="str">
        <f aca="false">IF(ISBLANK(Q146),"",ABS(Q146-SUMIFS($Q$2:$Q$205,$A$2:$A$205,$A146,$B$2:$B$205,$B146,$C$2:$C$205,100)))</f>
        <v/>
      </c>
      <c r="AH146" s="3" t="str">
        <f aca="false">IF(ISBLANK(R146),"",ABS(R146-SUMIFS($R$2:$R$205,$A$2:$A$205,$A146,$B$2:$B$205,$B146,$C$2:$C$205,100)))</f>
        <v/>
      </c>
      <c r="AI146" s="3" t="str">
        <f aca="false">IF(ISBLANK(S146),"",ABS(S146-SUMIFS($S$2:$S$205,$A$2:$A$205,$A146,$B$2:$B$205,$B146,$C$2:$C$205,100)))</f>
        <v/>
      </c>
      <c r="AJ146" s="3" t="n">
        <f aca="false">MAX(V146:AI146)</f>
        <v>1.20241679724131E-006</v>
      </c>
    </row>
    <row r="147" customFormat="false" ht="15" hidden="false" customHeight="false" outlineLevel="0" collapsed="false">
      <c r="A147" s="2" t="s">
        <v>44</v>
      </c>
      <c r="B147" s="2" t="s">
        <v>39</v>
      </c>
      <c r="C147" s="2" t="n">
        <v>80</v>
      </c>
      <c r="D147" s="3" t="n">
        <v>-3977.58364780243</v>
      </c>
      <c r="E147" s="3" t="n">
        <v>-2.86146178839159</v>
      </c>
      <c r="F147" s="3" t="n">
        <v>-710.397868652955</v>
      </c>
      <c r="G147" s="3" t="n">
        <v>-98.7384665340109</v>
      </c>
      <c r="H147" s="3" t="n">
        <v>-90.9123037347493</v>
      </c>
      <c r="I147" s="3" t="n">
        <v>-16.8650175885186</v>
      </c>
      <c r="J147" s="3" t="n">
        <v>-13.8518184289213</v>
      </c>
      <c r="K147" s="3" t="n">
        <v>-8.34780634884661</v>
      </c>
      <c r="L147" s="3" t="n">
        <v>-2.26436342343283</v>
      </c>
      <c r="M147" s="3" t="n">
        <v>-1.41261796049204</v>
      </c>
      <c r="N147" s="3" t="n">
        <v>-0.179663120248094</v>
      </c>
      <c r="O147" s="3" t="n">
        <v>-0.206690916246736</v>
      </c>
      <c r="P147" s="3"/>
      <c r="Q147" s="3"/>
      <c r="R147" s="3"/>
      <c r="S147" s="3"/>
      <c r="T147" s="3" t="n">
        <f aca="false">ABS(D147-SUMIFS($D$2:$D$205,$A$2:$A$205,$A147,$B$2:$B$205,$B147,$C$2:$C$205,100))</f>
        <v>0</v>
      </c>
      <c r="U147" s="3" t="n">
        <f aca="false">ABS(E147-SUMIFS($E$2:$E$205,$A$2:$A$205,$A147,$B$2:$B$205,$B147,$C$2:$C$205,100))</f>
        <v>1.18958176642536E-011</v>
      </c>
      <c r="V147" s="3" t="n">
        <f aca="false">IF(ISBLANK(F147),"",ABS(F147-SUMIFS($F$2:$F$205,$A$2:$A$205,$A147,$B$2:$B$205,$B147,$C$2:$C$205,100)))</f>
        <v>2.36468622460961E-011</v>
      </c>
      <c r="W147" s="3" t="n">
        <f aca="false">IF(ISBLANK(G147),"",ABS(G147-SUMIFS($G$2:$G$205,$A$2:$A$205,$A147,$B$2:$B$205,$B147,$C$2:$C$205,100)))</f>
        <v>2.35615971178049E-011</v>
      </c>
      <c r="X147" s="3" t="n">
        <f aca="false">IF(ISBLANK(H147),"",ABS(H147-SUMIFS($H$2:$H$205,$A$2:$A$205,$A147,$B$2:$B$205,$B147,$C$2:$C$205,100)))</f>
        <v>1.82268422577181E-010</v>
      </c>
      <c r="Y147" s="3" t="n">
        <f aca="false">IF(ISBLANK(I147),"",ABS(I147-SUMIFS($I$2:$I$205,$A$2:$A$205,$A147,$B$2:$B$205,$B147,$C$2:$C$205,100)))</f>
        <v>2.73011835361103E-010</v>
      </c>
      <c r="Z147" s="3" t="n">
        <f aca="false">IF(ISBLANK(J147),"",ABS(J147-SUMIFS($J$2:$J$205,$A$2:$A$205,$A147,$B$2:$B$205,$B147,$C$2:$C$205,100)))</f>
        <v>1.82250659008787E-010</v>
      </c>
      <c r="AA147" s="3" t="n">
        <f aca="false">IF(ISBLANK(K147),"",ABS(K147-SUMIFS($K$2:$K$205,$A$2:$A$205,$A147,$B$2:$B$205,$B147,$C$2:$C$205,100)))</f>
        <v>0</v>
      </c>
      <c r="AB147" s="3" t="n">
        <f aca="false">IF(ISBLANK(L147),"",ABS(L147-SUMIFS($L$2:$L$205,$A$2:$A$205,$A147,$B$2:$B$205,$B147,$C$2:$C$205,100)))</f>
        <v>2.3564261653064E-011</v>
      </c>
      <c r="AC147" s="3" t="n">
        <f aca="false">IF(ISBLANK(M147),"",ABS(M147-SUMIFS($M$2:$M$205,$A$2:$A$205,$A147,$B$2:$B$205,$B147,$C$2:$C$205,100)))</f>
        <v>1.82246884250503E-010</v>
      </c>
      <c r="AD147" s="3" t="n">
        <f aca="false">IF(ISBLANK(N147),"",ABS(N147-SUMIFS($N$2:$N$205,$A$2:$A$205,$A147,$B$2:$B$205,$B147,$C$2:$C$205,100)))</f>
        <v>0</v>
      </c>
      <c r="AE147" s="3" t="n">
        <f aca="false">IF(ISBLANK(O147),"",ABS(O147-SUMIFS($O$2:$O$205,$A$2:$A$205,$A147,$B$2:$B$205,$B147,$C$2:$C$205,100)))</f>
        <v>2.35633179634931E-011</v>
      </c>
      <c r="AF147" s="3" t="str">
        <f aca="false">IF(ISBLANK(P147),"",ABS(P147-SUMIFS($P$2:$P$205,$A$2:$A$205,$A147,$B$2:$B$205,$B147,$C$2:$C$205,100)))</f>
        <v/>
      </c>
      <c r="AG147" s="3" t="str">
        <f aca="false">IF(ISBLANK(Q147),"",ABS(Q147-SUMIFS($Q$2:$Q$205,$A$2:$A$205,$A147,$B$2:$B$205,$B147,$C$2:$C$205,100)))</f>
        <v/>
      </c>
      <c r="AH147" s="3" t="str">
        <f aca="false">IF(ISBLANK(R147),"",ABS(R147-SUMIFS($R$2:$R$205,$A$2:$A$205,$A147,$B$2:$B$205,$B147,$C$2:$C$205,100)))</f>
        <v/>
      </c>
      <c r="AI147" s="3" t="str">
        <f aca="false">IF(ISBLANK(S147),"",ABS(S147-SUMIFS($S$2:$S$205,$A$2:$A$205,$A147,$B$2:$B$205,$B147,$C$2:$C$205,100)))</f>
        <v/>
      </c>
      <c r="AJ147" s="3" t="n">
        <f aca="false">MAX(V147:AI147)</f>
        <v>2.73011835361103E-010</v>
      </c>
    </row>
    <row r="148" customFormat="false" ht="15" hidden="false" customHeight="false" outlineLevel="0" collapsed="false">
      <c r="A148" s="4" t="s">
        <v>44</v>
      </c>
      <c r="B148" s="4" t="s">
        <v>39</v>
      </c>
      <c r="C148" s="4" t="n">
        <v>100</v>
      </c>
      <c r="D148" s="5" t="n">
        <v>-3977.58364780244</v>
      </c>
      <c r="E148" s="5" t="n">
        <v>-2.86146178840349</v>
      </c>
      <c r="F148" s="3" t="n">
        <v>-710.397868652979</v>
      </c>
      <c r="G148" s="3" t="n">
        <v>-98.7384665340345</v>
      </c>
      <c r="H148" s="3" t="n">
        <v>-90.9123037349315</v>
      </c>
      <c r="I148" s="3" t="n">
        <v>-16.8650175882456</v>
      </c>
      <c r="J148" s="3" t="n">
        <v>-13.8518184291035</v>
      </c>
      <c r="K148" s="3" t="n">
        <v>-8.34780634884661</v>
      </c>
      <c r="L148" s="3" t="n">
        <v>-2.2643634234564</v>
      </c>
      <c r="M148" s="3" t="n">
        <v>-1.41261796067429</v>
      </c>
      <c r="N148" s="3" t="n">
        <v>-0.179663120248094</v>
      </c>
      <c r="O148" s="3" t="n">
        <v>-0.2066909162703</v>
      </c>
      <c r="P148" s="3"/>
      <c r="Q148" s="3"/>
      <c r="R148" s="3"/>
      <c r="S148" s="3"/>
      <c r="T148" s="3" t="n">
        <f aca="false">ABS(D148-SUMIFS($D$2:$D$205,$A$2:$A$205,$A148,$B$2:$B$205,$B148,$C$2:$C$205,100))</f>
        <v>0</v>
      </c>
      <c r="U148" s="3" t="n">
        <f aca="false">ABS(E148-SUMIFS($E$2:$E$205,$A$2:$A$205,$A148,$B$2:$B$205,$B148,$C$2:$C$205,100))</f>
        <v>0</v>
      </c>
      <c r="V148" s="3" t="n">
        <f aca="false">IF(ISBLANK(F148),"",ABS(F148-SUMIFS($F$2:$F$205,$A$2:$A$205,$A148,$B$2:$B$205,$B148,$C$2:$C$205,100)))</f>
        <v>0</v>
      </c>
      <c r="W148" s="3" t="n">
        <f aca="false">IF(ISBLANK(G148),"",ABS(G148-SUMIFS($G$2:$G$205,$A$2:$A$205,$A148,$B$2:$B$205,$B148,$C$2:$C$205,100)))</f>
        <v>0</v>
      </c>
      <c r="X148" s="3" t="n">
        <f aca="false">IF(ISBLANK(H148),"",ABS(H148-SUMIFS($H$2:$H$205,$A$2:$A$205,$A148,$B$2:$B$205,$B148,$C$2:$C$205,100)))</f>
        <v>0</v>
      </c>
      <c r="Y148" s="3" t="n">
        <f aca="false">IF(ISBLANK(I148),"",ABS(I148-SUMIFS($I$2:$I$205,$A$2:$A$205,$A148,$B$2:$B$205,$B148,$C$2:$C$205,100)))</f>
        <v>0</v>
      </c>
      <c r="Z148" s="3" t="n">
        <f aca="false">IF(ISBLANK(J148),"",ABS(J148-SUMIFS($J$2:$J$205,$A$2:$A$205,$A148,$B$2:$B$205,$B148,$C$2:$C$205,100)))</f>
        <v>0</v>
      </c>
      <c r="AA148" s="3" t="n">
        <f aca="false">IF(ISBLANK(K148),"",ABS(K148-SUMIFS($K$2:$K$205,$A$2:$A$205,$A148,$B$2:$B$205,$B148,$C$2:$C$205,100)))</f>
        <v>0</v>
      </c>
      <c r="AB148" s="3" t="n">
        <f aca="false">IF(ISBLANK(L148),"",ABS(L148-SUMIFS($L$2:$L$205,$A$2:$A$205,$A148,$B$2:$B$205,$B148,$C$2:$C$205,100)))</f>
        <v>0</v>
      </c>
      <c r="AC148" s="3" t="n">
        <f aca="false">IF(ISBLANK(M148),"",ABS(M148-SUMIFS($M$2:$M$205,$A$2:$A$205,$A148,$B$2:$B$205,$B148,$C$2:$C$205,100)))</f>
        <v>0</v>
      </c>
      <c r="AD148" s="3" t="n">
        <f aca="false">IF(ISBLANK(N148),"",ABS(N148-SUMIFS($N$2:$N$205,$A$2:$A$205,$A148,$B$2:$B$205,$B148,$C$2:$C$205,100)))</f>
        <v>0</v>
      </c>
      <c r="AE148" s="3" t="n">
        <f aca="false">IF(ISBLANK(O148),"",ABS(O148-SUMIFS($O$2:$O$205,$A$2:$A$205,$A148,$B$2:$B$205,$B148,$C$2:$C$205,100)))</f>
        <v>0</v>
      </c>
      <c r="AF148" s="3" t="str">
        <f aca="false">IF(ISBLANK(P148),"",ABS(P148-SUMIFS($P$2:$P$205,$A$2:$A$205,$A148,$B$2:$B$205,$B148,$C$2:$C$205,100)))</f>
        <v/>
      </c>
      <c r="AG148" s="3" t="str">
        <f aca="false">IF(ISBLANK(Q148),"",ABS(Q148-SUMIFS($Q$2:$Q$205,$A$2:$A$205,$A148,$B$2:$B$205,$B148,$C$2:$C$205,100)))</f>
        <v/>
      </c>
      <c r="AH148" s="3" t="str">
        <f aca="false">IF(ISBLANK(R148),"",ABS(R148-SUMIFS($R$2:$R$205,$A$2:$A$205,$A148,$B$2:$B$205,$B148,$C$2:$C$205,100)))</f>
        <v/>
      </c>
      <c r="AI148" s="3" t="str">
        <f aca="false">IF(ISBLANK(S148),"",ABS(S148-SUMIFS($S$2:$S$205,$A$2:$A$205,$A148,$B$2:$B$205,$B148,$C$2:$C$205,100)))</f>
        <v/>
      </c>
      <c r="AJ148" s="3" t="n">
        <f aca="false">MAX(V148:AI148)</f>
        <v>0</v>
      </c>
    </row>
    <row r="149" customFormat="false" ht="15" hidden="false" customHeight="false" outlineLevel="0" collapsed="false">
      <c r="A149" s="2" t="s">
        <v>44</v>
      </c>
      <c r="B149" s="2" t="s">
        <v>40</v>
      </c>
      <c r="C149" s="2" t="n">
        <v>5</v>
      </c>
      <c r="D149" s="3" t="n">
        <v>-3977.34730550162</v>
      </c>
      <c r="E149" s="3" t="n">
        <v>-2.6379636663984</v>
      </c>
      <c r="F149" s="3" t="n">
        <v>-710.456671469818</v>
      </c>
      <c r="G149" s="3" t="n">
        <v>-98.631809456963</v>
      </c>
      <c r="H149" s="3" t="n">
        <v>-90.823466332139</v>
      </c>
      <c r="I149" s="3" t="n">
        <v>-16.7447434791963</v>
      </c>
      <c r="J149" s="3" t="n">
        <v>-13.7339964896144</v>
      </c>
      <c r="K149" s="3" t="n">
        <v>-8.22449868758641</v>
      </c>
      <c r="L149" s="3" t="n">
        <v>-2.28489338563317</v>
      </c>
      <c r="M149" s="3" t="n">
        <v>-1.4286351468101</v>
      </c>
      <c r="N149" s="3" t="n">
        <v>-0.182474756037043</v>
      </c>
      <c r="O149" s="3" t="n">
        <v>-0.210309529622131</v>
      </c>
      <c r="P149" s="3"/>
      <c r="Q149" s="3"/>
      <c r="R149" s="3"/>
      <c r="S149" s="3"/>
      <c r="T149" s="3" t="n">
        <f aca="false">ABS(D149-SUMIFS($D$2:$D$205,$A$2:$A$205,$A149,$B$2:$B$205,$B149,$C$2:$C$205,100))</f>
        <v>0.236342300817796</v>
      </c>
      <c r="U149" s="3" t="n">
        <f aca="false">ABS(E149-SUMIFS($E$2:$E$205,$A$2:$A$205,$A149,$B$2:$B$205,$B149,$C$2:$C$205,100))</f>
        <v>0.223498122005992</v>
      </c>
      <c r="V149" s="3" t="n">
        <f aca="false">IF(ISBLANK(F149),"",ABS(F149-SUMIFS($F$2:$F$205,$A$2:$A$205,$A149,$B$2:$B$205,$B149,$C$2:$C$205,100)))</f>
        <v>0.0588028168688197</v>
      </c>
      <c r="W149" s="3" t="n">
        <f aca="false">IF(ISBLANK(G149),"",ABS(G149-SUMIFS($G$2:$G$205,$A$2:$A$205,$A149,$B$2:$B$205,$B149,$C$2:$C$205,100)))</f>
        <v>0.106657077042428</v>
      </c>
      <c r="X149" s="3" t="n">
        <f aca="false">IF(ISBLANK(H149),"",ABS(H149-SUMIFS($H$2:$H$205,$A$2:$A$205,$A149,$B$2:$B$205,$B149,$C$2:$C$205,100)))</f>
        <v>0.0888374027925067</v>
      </c>
      <c r="Y149" s="3" t="n">
        <f aca="false">IF(ISBLANK(I149),"",ABS(I149-SUMIFS($I$2:$I$205,$A$2:$A$205,$A149,$B$2:$B$205,$B149,$C$2:$C$205,100)))</f>
        <v>0.120274109316789</v>
      </c>
      <c r="Z149" s="3" t="n">
        <f aca="false">IF(ISBLANK(J149),"",ABS(J149-SUMIFS($J$2:$J$205,$A$2:$A$205,$A149,$B$2:$B$205,$B149,$C$2:$C$205,100)))</f>
        <v>0.11782193948911</v>
      </c>
      <c r="AA149" s="3" t="n">
        <f aca="false">IF(ISBLANK(K149),"",ABS(K149-SUMIFS($K$2:$K$205,$A$2:$A$205,$A149,$B$2:$B$205,$B149,$C$2:$C$205,100)))</f>
        <v>0.123307661260199</v>
      </c>
      <c r="AB149" s="3" t="n">
        <f aca="false">IF(ISBLANK(L149),"",ABS(L149-SUMIFS($L$2:$L$205,$A$2:$A$205,$A149,$B$2:$B$205,$B149,$C$2:$C$205,100)))</f>
        <v>0.0205299622058823</v>
      </c>
      <c r="AC149" s="3" t="n">
        <f aca="false">IF(ISBLANK(M149),"",ABS(M149-SUMIFS($M$2:$M$205,$A$2:$A$205,$A149,$B$2:$B$205,$B149,$C$2:$C$205,100)))</f>
        <v>0.0160171861358092</v>
      </c>
      <c r="AD149" s="3" t="n">
        <f aca="false">IF(ISBLANK(N149),"",ABS(N149-SUMIFS($N$2:$N$205,$A$2:$A$205,$A149,$B$2:$B$205,$B149,$C$2:$C$205,100)))</f>
        <v>0.00281163578894902</v>
      </c>
      <c r="AE149" s="3" t="n">
        <f aca="false">IF(ISBLANK(O149),"",ABS(O149-SUMIFS($O$2:$O$205,$A$2:$A$205,$A149,$B$2:$B$205,$B149,$C$2:$C$205,100)))</f>
        <v>0.00361861338093519</v>
      </c>
      <c r="AF149" s="3" t="str">
        <f aca="false">IF(ISBLANK(P149),"",ABS(P149-SUMIFS($P$2:$P$205,$A$2:$A$205,$A149,$B$2:$B$205,$B149,$C$2:$C$205,100)))</f>
        <v/>
      </c>
      <c r="AG149" s="3" t="str">
        <f aca="false">IF(ISBLANK(Q149),"",ABS(Q149-SUMIFS($Q$2:$Q$205,$A$2:$A$205,$A149,$B$2:$B$205,$B149,$C$2:$C$205,100)))</f>
        <v/>
      </c>
      <c r="AH149" s="3" t="str">
        <f aca="false">IF(ISBLANK(R149),"",ABS(R149-SUMIFS($R$2:$R$205,$A$2:$A$205,$A149,$B$2:$B$205,$B149,$C$2:$C$205,100)))</f>
        <v/>
      </c>
      <c r="AI149" s="3" t="str">
        <f aca="false">IF(ISBLANK(S149),"",ABS(S149-SUMIFS($S$2:$S$205,$A$2:$A$205,$A149,$B$2:$B$205,$B149,$C$2:$C$205,100)))</f>
        <v/>
      </c>
      <c r="AJ149" s="3" t="n">
        <f aca="false">MAX(V149:AI149)</f>
        <v>0.123307661260199</v>
      </c>
    </row>
    <row r="150" customFormat="false" ht="15" hidden="false" customHeight="false" outlineLevel="0" collapsed="false">
      <c r="A150" s="2" t="s">
        <v>44</v>
      </c>
      <c r="B150" s="2" t="s">
        <v>40</v>
      </c>
      <c r="C150" s="2" t="n">
        <v>10</v>
      </c>
      <c r="D150" s="3" t="n">
        <v>-3977.66665823731</v>
      </c>
      <c r="E150" s="3" t="n">
        <v>-2.94362221249918</v>
      </c>
      <c r="F150" s="3" t="n">
        <v>-710.40962229715</v>
      </c>
      <c r="G150" s="3" t="n">
        <v>-98.7752904152091</v>
      </c>
      <c r="H150" s="3" t="n">
        <v>-90.9514118508485</v>
      </c>
      <c r="I150" s="3" t="n">
        <v>-16.9006531741397</v>
      </c>
      <c r="J150" s="3" t="n">
        <v>-13.8864423040812</v>
      </c>
      <c r="K150" s="3" t="n">
        <v>-8.38025386570671</v>
      </c>
      <c r="L150" s="3" t="n">
        <v>-2.25998075588155</v>
      </c>
      <c r="M150" s="3" t="n">
        <v>-1.40911568446156</v>
      </c>
      <c r="N150" s="3" t="n">
        <v>-0.1776962143869</v>
      </c>
      <c r="O150" s="3" t="n">
        <v>-0.204099814787624</v>
      </c>
      <c r="P150" s="3"/>
      <c r="Q150" s="3"/>
      <c r="R150" s="3"/>
      <c r="S150" s="3"/>
      <c r="T150" s="3" t="n">
        <f aca="false">ABS(D150-SUMIFS($D$2:$D$205,$A$2:$A$205,$A150,$B$2:$B$205,$B150,$C$2:$C$205,100))</f>
        <v>0.083010434865173</v>
      </c>
      <c r="U150" s="3" t="n">
        <f aca="false">ABS(E150-SUMIFS($E$2:$E$205,$A$2:$A$205,$A150,$B$2:$B$205,$B150,$C$2:$C$205,100))</f>
        <v>0.08216042409479</v>
      </c>
      <c r="V150" s="3" t="n">
        <f aca="false">IF(ISBLANK(F150),"",ABS(F150-SUMIFS($F$2:$F$205,$A$2:$A$205,$A150,$B$2:$B$205,$B150,$C$2:$C$205,100)))</f>
        <v>0.0117536442003257</v>
      </c>
      <c r="W150" s="3" t="n">
        <f aca="false">IF(ISBLANK(G150),"",ABS(G150-SUMIFS($G$2:$G$205,$A$2:$A$205,$A150,$B$2:$B$205,$B150,$C$2:$C$205,100)))</f>
        <v>0.0368238812037589</v>
      </c>
      <c r="X150" s="3" t="n">
        <f aca="false">IF(ISBLANK(H150),"",ABS(H150-SUMIFS($H$2:$H$205,$A$2:$A$205,$A150,$B$2:$B$205,$B150,$C$2:$C$205,100)))</f>
        <v>0.039108115916946</v>
      </c>
      <c r="Y150" s="3" t="n">
        <f aca="false">IF(ISBLANK(I150),"",ABS(I150-SUMIFS($I$2:$I$205,$A$2:$A$205,$A150,$B$2:$B$205,$B150,$C$2:$C$205,100)))</f>
        <v>0.0356355856265793</v>
      </c>
      <c r="Z150" s="3" t="n">
        <f aca="false">IF(ISBLANK(J150),"",ABS(J150-SUMIFS($J$2:$J$205,$A$2:$A$205,$A150,$B$2:$B$205,$B150,$C$2:$C$205,100)))</f>
        <v>0.0346238749777204</v>
      </c>
      <c r="AA150" s="3" t="n">
        <f aca="false">IF(ISBLANK(K150),"",ABS(K150-SUMIFS($K$2:$K$205,$A$2:$A$205,$A150,$B$2:$B$205,$B150,$C$2:$C$205,100)))</f>
        <v>0.0324475168600991</v>
      </c>
      <c r="AB150" s="3" t="n">
        <f aca="false">IF(ISBLANK(L150),"",ABS(L150-SUMIFS($L$2:$L$205,$A$2:$A$205,$A150,$B$2:$B$205,$B150,$C$2:$C$205,100)))</f>
        <v>0.00438266754574102</v>
      </c>
      <c r="AC150" s="3" t="n">
        <f aca="false">IF(ISBLANK(M150),"",ABS(M150-SUMIFS($M$2:$M$205,$A$2:$A$205,$A150,$B$2:$B$205,$B150,$C$2:$C$205,100)))</f>
        <v>0.00350227621273391</v>
      </c>
      <c r="AD150" s="3" t="n">
        <f aca="false">IF(ISBLANK(N150),"",ABS(N150-SUMIFS($N$2:$N$205,$A$2:$A$205,$A150,$B$2:$B$205,$B150,$C$2:$C$205,100)))</f>
        <v>0.001966905861194</v>
      </c>
      <c r="AE150" s="3" t="n">
        <f aca="false">IF(ISBLANK(O150),"",ABS(O150-SUMIFS($O$2:$O$205,$A$2:$A$205,$A150,$B$2:$B$205,$B150,$C$2:$C$205,100)))</f>
        <v>0.00259110145357191</v>
      </c>
      <c r="AF150" s="3" t="str">
        <f aca="false">IF(ISBLANK(P150),"",ABS(P150-SUMIFS($P$2:$P$205,$A$2:$A$205,$A150,$B$2:$B$205,$B150,$C$2:$C$205,100)))</f>
        <v/>
      </c>
      <c r="AG150" s="3" t="str">
        <f aca="false">IF(ISBLANK(Q150),"",ABS(Q150-SUMIFS($Q$2:$Q$205,$A$2:$A$205,$A150,$B$2:$B$205,$B150,$C$2:$C$205,100)))</f>
        <v/>
      </c>
      <c r="AH150" s="3" t="str">
        <f aca="false">IF(ISBLANK(R150),"",ABS(R150-SUMIFS($R$2:$R$205,$A$2:$A$205,$A150,$B$2:$B$205,$B150,$C$2:$C$205,100)))</f>
        <v/>
      </c>
      <c r="AI150" s="3" t="str">
        <f aca="false">IF(ISBLANK(S150),"",ABS(S150-SUMIFS($S$2:$S$205,$A$2:$A$205,$A150,$B$2:$B$205,$B150,$C$2:$C$205,100)))</f>
        <v/>
      </c>
      <c r="AJ150" s="3" t="n">
        <f aca="false">MAX(V150:AI150)</f>
        <v>0.039108115916946</v>
      </c>
    </row>
    <row r="151" customFormat="false" ht="15" hidden="false" customHeight="false" outlineLevel="0" collapsed="false">
      <c r="A151" s="2" t="s">
        <v>44</v>
      </c>
      <c r="B151" s="2" t="s">
        <v>40</v>
      </c>
      <c r="C151" s="2" t="n">
        <v>15</v>
      </c>
      <c r="D151" s="3" t="n">
        <v>-3977.5856126912</v>
      </c>
      <c r="E151" s="3" t="n">
        <v>-2.86301951892338</v>
      </c>
      <c r="F151" s="3" t="n">
        <v>-710.412015645622</v>
      </c>
      <c r="G151" s="3" t="n">
        <v>-98.7468459177885</v>
      </c>
      <c r="H151" s="3" t="n">
        <v>-90.9214569062977</v>
      </c>
      <c r="I151" s="3" t="n">
        <v>-16.8717578248317</v>
      </c>
      <c r="J151" s="3" t="n">
        <v>-13.8581649377963</v>
      </c>
      <c r="K151" s="3" t="n">
        <v>-8.35326791262923</v>
      </c>
      <c r="L151" s="3" t="n">
        <v>-2.26549883013976</v>
      </c>
      <c r="M151" s="3" t="n">
        <v>-1.41382507878894</v>
      </c>
      <c r="N151" s="3" t="n">
        <v>-0.180855119910726</v>
      </c>
      <c r="O151" s="3" t="n">
        <v>-0.207624167922629</v>
      </c>
      <c r="P151" s="3"/>
      <c r="Q151" s="3"/>
      <c r="R151" s="3"/>
      <c r="S151" s="3"/>
      <c r="T151" s="3" t="n">
        <f aca="false">ABS(D151-SUMIFS($D$2:$D$205,$A$2:$A$205,$A151,$B$2:$B$205,$B151,$C$2:$C$205,100))</f>
        <v>0.00196488875735668</v>
      </c>
      <c r="U151" s="3" t="n">
        <f aca="false">ABS(E151-SUMIFS($E$2:$E$205,$A$2:$A$205,$A151,$B$2:$B$205,$B151,$C$2:$C$205,100))</f>
        <v>0.001557730518992</v>
      </c>
      <c r="V151" s="3" t="n">
        <f aca="false">IF(ISBLANK(F151),"",ABS(F151-SUMIFS($F$2:$F$205,$A$2:$A$205,$A151,$B$2:$B$205,$B151,$C$2:$C$205,100)))</f>
        <v>0.0141469926725222</v>
      </c>
      <c r="W151" s="3" t="n">
        <f aca="false">IF(ISBLANK(G151),"",ABS(G151-SUMIFS($G$2:$G$205,$A$2:$A$205,$A151,$B$2:$B$205,$B151,$C$2:$C$205,100)))</f>
        <v>0.00837938378313652</v>
      </c>
      <c r="X151" s="3" t="n">
        <f aca="false">IF(ISBLANK(H151),"",ABS(H151-SUMIFS($H$2:$H$205,$A$2:$A$205,$A151,$B$2:$B$205,$B151,$C$2:$C$205,100)))</f>
        <v>0.00915317136616523</v>
      </c>
      <c r="Y151" s="3" t="n">
        <f aca="false">IF(ISBLANK(I151),"",ABS(I151-SUMIFS($I$2:$I$205,$A$2:$A$205,$A151,$B$2:$B$205,$B151,$C$2:$C$205,100)))</f>
        <v>0.00674023631862042</v>
      </c>
      <c r="Z151" s="3" t="n">
        <f aca="false">IF(ISBLANK(J151),"",ABS(J151-SUMIFS($J$2:$J$205,$A$2:$A$205,$A151,$B$2:$B$205,$B151,$C$2:$C$205,100)))</f>
        <v>0.00634650869282005</v>
      </c>
      <c r="AA151" s="3" t="n">
        <f aca="false">IF(ISBLANK(K151),"",ABS(K151-SUMIFS($K$2:$K$205,$A$2:$A$205,$A151,$B$2:$B$205,$B151,$C$2:$C$205,100)))</f>
        <v>0.00546156378262097</v>
      </c>
      <c r="AB151" s="3" t="n">
        <f aca="false">IF(ISBLANK(L151),"",ABS(L151-SUMIFS($L$2:$L$205,$A$2:$A$205,$A151,$B$2:$B$205,$B151,$C$2:$C$205,100)))</f>
        <v>0.00113540671247225</v>
      </c>
      <c r="AC151" s="3" t="n">
        <f aca="false">IF(ISBLANK(M151),"",ABS(M151-SUMIFS($M$2:$M$205,$A$2:$A$205,$A151,$B$2:$B$205,$B151,$C$2:$C$205,100)))</f>
        <v>0.00120711811464513</v>
      </c>
      <c r="AD151" s="3" t="n">
        <f aca="false">IF(ISBLANK(N151),"",ABS(N151-SUMIFS($N$2:$N$205,$A$2:$A$205,$A151,$B$2:$B$205,$B151,$C$2:$C$205,100)))</f>
        <v>0.0011919996626325</v>
      </c>
      <c r="AE151" s="3" t="n">
        <f aca="false">IF(ISBLANK(O151),"",ABS(O151-SUMIFS($O$2:$O$205,$A$2:$A$205,$A151,$B$2:$B$205,$B151,$C$2:$C$205,100)))</f>
        <v>0.0009332516814331</v>
      </c>
      <c r="AF151" s="3" t="str">
        <f aca="false">IF(ISBLANK(P151),"",ABS(P151-SUMIFS($P$2:$P$205,$A$2:$A$205,$A151,$B$2:$B$205,$B151,$C$2:$C$205,100)))</f>
        <v/>
      </c>
      <c r="AG151" s="3" t="str">
        <f aca="false">IF(ISBLANK(Q151),"",ABS(Q151-SUMIFS($Q$2:$Q$205,$A$2:$A$205,$A151,$B$2:$B$205,$B151,$C$2:$C$205,100)))</f>
        <v/>
      </c>
      <c r="AH151" s="3" t="str">
        <f aca="false">IF(ISBLANK(R151),"",ABS(R151-SUMIFS($R$2:$R$205,$A$2:$A$205,$A151,$B$2:$B$205,$B151,$C$2:$C$205,100)))</f>
        <v/>
      </c>
      <c r="AI151" s="3" t="str">
        <f aca="false">IF(ISBLANK(S151),"",ABS(S151-SUMIFS($S$2:$S$205,$A$2:$A$205,$A151,$B$2:$B$205,$B151,$C$2:$C$205,100)))</f>
        <v/>
      </c>
      <c r="AJ151" s="3" t="n">
        <f aca="false">MAX(V151:AI151)</f>
        <v>0.0141469926725222</v>
      </c>
    </row>
    <row r="152" customFormat="false" ht="15" hidden="false" customHeight="false" outlineLevel="0" collapsed="false">
      <c r="A152" s="2" t="s">
        <v>44</v>
      </c>
      <c r="B152" s="2" t="s">
        <v>40</v>
      </c>
      <c r="C152" s="2" t="n">
        <v>20</v>
      </c>
      <c r="D152" s="3" t="n">
        <v>-3977.58441806453</v>
      </c>
      <c r="E152" s="3" t="n">
        <v>-2.86227181861438</v>
      </c>
      <c r="F152" s="3" t="n">
        <v>-710.39805351847</v>
      </c>
      <c r="G152" s="3" t="n">
        <v>-98.7381589050404</v>
      </c>
      <c r="H152" s="3" t="n">
        <v>-90.9125575221698</v>
      </c>
      <c r="I152" s="3" t="n">
        <v>-16.8631882485898</v>
      </c>
      <c r="J152" s="3" t="n">
        <v>-13.8500127464604</v>
      </c>
      <c r="K152" s="3" t="n">
        <v>-8.3459610664472</v>
      </c>
      <c r="L152" s="3" t="n">
        <v>-2.26504611213544</v>
      </c>
      <c r="M152" s="3" t="n">
        <v>-1.41323784218758</v>
      </c>
      <c r="N152" s="3" t="n">
        <v>-0.180192197188904</v>
      </c>
      <c r="O152" s="3" t="n">
        <v>-0.207250512843141</v>
      </c>
      <c r="P152" s="3"/>
      <c r="Q152" s="3"/>
      <c r="R152" s="3"/>
      <c r="S152" s="3"/>
      <c r="T152" s="3" t="n">
        <f aca="false">ABS(D152-SUMIFS($D$2:$D$205,$A$2:$A$205,$A152,$B$2:$B$205,$B152,$C$2:$C$205,100))</f>
        <v>0.000770262091009499</v>
      </c>
      <c r="U152" s="3" t="n">
        <f aca="false">ABS(E152-SUMIFS($E$2:$E$205,$A$2:$A$205,$A152,$B$2:$B$205,$B152,$C$2:$C$205,100))</f>
        <v>0.000810030209986934</v>
      </c>
      <c r="V152" s="3" t="n">
        <f aca="false">IF(ISBLANK(F152),"",ABS(F152-SUMIFS($F$2:$F$205,$A$2:$A$205,$A152,$B$2:$B$205,$B152,$C$2:$C$205,100)))</f>
        <v>0.000184865520850508</v>
      </c>
      <c r="W152" s="3" t="n">
        <f aca="false">IF(ISBLANK(G152),"",ABS(G152-SUMIFS($G$2:$G$205,$A$2:$A$205,$A152,$B$2:$B$205,$B152,$C$2:$C$205,100)))</f>
        <v>0.000307628964947071</v>
      </c>
      <c r="X152" s="3" t="n">
        <f aca="false">IF(ISBLANK(H152),"",ABS(H152-SUMIFS($H$2:$H$205,$A$2:$A$205,$A152,$B$2:$B$205,$B152,$C$2:$C$205,100)))</f>
        <v>0.000253787238250425</v>
      </c>
      <c r="Y152" s="3" t="n">
        <f aca="false">IF(ISBLANK(I152),"",ABS(I152-SUMIFS($I$2:$I$205,$A$2:$A$205,$A152,$B$2:$B$205,$B152,$C$2:$C$205,100)))</f>
        <v>0.00182933992325829</v>
      </c>
      <c r="Z152" s="3" t="n">
        <f aca="false">IF(ISBLANK(J152),"",ABS(J152-SUMIFS($J$2:$J$205,$A$2:$A$205,$A152,$B$2:$B$205,$B152,$C$2:$C$205,100)))</f>
        <v>0.00180568264311987</v>
      </c>
      <c r="AA152" s="3" t="n">
        <f aca="false">IF(ISBLANK(K152),"",ABS(K152-SUMIFS($K$2:$K$205,$A$2:$A$205,$A152,$B$2:$B$205,$B152,$C$2:$C$205,100)))</f>
        <v>0.00184528239940818</v>
      </c>
      <c r="AB152" s="3" t="n">
        <f aca="false">IF(ISBLANK(L152),"",ABS(L152-SUMIFS($L$2:$L$205,$A$2:$A$205,$A152,$B$2:$B$205,$B152,$C$2:$C$205,100)))</f>
        <v>0.000682688708148138</v>
      </c>
      <c r="AC152" s="3" t="n">
        <f aca="false">IF(ISBLANK(M152),"",ABS(M152-SUMIFS($M$2:$M$205,$A$2:$A$205,$A152,$B$2:$B$205,$B152,$C$2:$C$205,100)))</f>
        <v>0.000619881513290066</v>
      </c>
      <c r="AD152" s="3" t="n">
        <f aca="false">IF(ISBLANK(N152),"",ABS(N152-SUMIFS($N$2:$N$205,$A$2:$A$205,$A152,$B$2:$B$205,$B152,$C$2:$C$205,100)))</f>
        <v>0.000529076940809614</v>
      </c>
      <c r="AE152" s="3" t="n">
        <f aca="false">IF(ISBLANK(O152),"",ABS(O152-SUMIFS($O$2:$O$205,$A$2:$A$205,$A152,$B$2:$B$205,$B152,$C$2:$C$205,100)))</f>
        <v>0.000559596601945406</v>
      </c>
      <c r="AF152" s="3" t="str">
        <f aca="false">IF(ISBLANK(P152),"",ABS(P152-SUMIFS($P$2:$P$205,$A$2:$A$205,$A152,$B$2:$B$205,$B152,$C$2:$C$205,100)))</f>
        <v/>
      </c>
      <c r="AG152" s="3" t="str">
        <f aca="false">IF(ISBLANK(Q152),"",ABS(Q152-SUMIFS($Q$2:$Q$205,$A$2:$A$205,$A152,$B$2:$B$205,$B152,$C$2:$C$205,100)))</f>
        <v/>
      </c>
      <c r="AH152" s="3" t="str">
        <f aca="false">IF(ISBLANK(R152),"",ABS(R152-SUMIFS($R$2:$R$205,$A$2:$A$205,$A152,$B$2:$B$205,$B152,$C$2:$C$205,100)))</f>
        <v/>
      </c>
      <c r="AI152" s="3" t="str">
        <f aca="false">IF(ISBLANK(S152),"",ABS(S152-SUMIFS($S$2:$S$205,$A$2:$A$205,$A152,$B$2:$B$205,$B152,$C$2:$C$205,100)))</f>
        <v/>
      </c>
      <c r="AJ152" s="3" t="n">
        <f aca="false">MAX(V152:AI152)</f>
        <v>0.00184528239940818</v>
      </c>
    </row>
    <row r="153" customFormat="false" ht="15" hidden="false" customHeight="false" outlineLevel="0" collapsed="false">
      <c r="A153" s="2" t="s">
        <v>44</v>
      </c>
      <c r="B153" s="2" t="s">
        <v>40</v>
      </c>
      <c r="C153" s="2" t="n">
        <v>30</v>
      </c>
      <c r="D153" s="3" t="n">
        <v>-3977.58373562019</v>
      </c>
      <c r="E153" s="3" t="n">
        <v>-2.86154841785908</v>
      </c>
      <c r="F153" s="3" t="n">
        <v>-710.398077525265</v>
      </c>
      <c r="G153" s="3" t="n">
        <v>-98.738586639139</v>
      </c>
      <c r="H153" s="3" t="n">
        <v>-90.9124221916276</v>
      </c>
      <c r="I153" s="3" t="n">
        <v>-16.8650887021163</v>
      </c>
      <c r="J153" s="3" t="n">
        <v>-13.8518861791304</v>
      </c>
      <c r="K153" s="3" t="n">
        <v>-8.34787229881961</v>
      </c>
      <c r="L153" s="3" t="n">
        <v>-2.26434682469021</v>
      </c>
      <c r="M153" s="3" t="n">
        <v>-1.41260276480893</v>
      </c>
      <c r="N153" s="3" t="n">
        <v>-0.179652396749436</v>
      </c>
      <c r="O153" s="3" t="n">
        <v>-0.206678082483982</v>
      </c>
      <c r="P153" s="3"/>
      <c r="Q153" s="3"/>
      <c r="R153" s="3"/>
      <c r="S153" s="3"/>
      <c r="T153" s="3" t="n">
        <f aca="false">ABS(D153-SUMIFS($D$2:$D$205,$A$2:$A$205,$A153,$B$2:$B$205,$B153,$C$2:$C$205,100))</f>
        <v>8.78177543199854E-005</v>
      </c>
      <c r="U153" s="3" t="n">
        <f aca="false">ABS(E153-SUMIFS($E$2:$E$205,$A$2:$A$205,$A153,$B$2:$B$205,$B153,$C$2:$C$205,100))</f>
        <v>8.66294546848501E-005</v>
      </c>
      <c r="V153" s="3" t="n">
        <f aca="false">IF(ISBLANK(F153),"",ABS(F153-SUMIFS($F$2:$F$205,$A$2:$A$205,$A153,$B$2:$B$205,$B153,$C$2:$C$205,100)))</f>
        <v>0.000208872315397457</v>
      </c>
      <c r="W153" s="3" t="n">
        <f aca="false">IF(ISBLANK(G153),"",ABS(G153-SUMIFS($G$2:$G$205,$A$2:$A$205,$A153,$B$2:$B$205,$B153,$C$2:$C$205,100)))</f>
        <v>0.000120105133646575</v>
      </c>
      <c r="X153" s="3" t="n">
        <f aca="false">IF(ISBLANK(H153),"",ABS(H153-SUMIFS($H$2:$H$205,$A$2:$A$205,$A153,$B$2:$B$205,$B153,$C$2:$C$205,100)))</f>
        <v>0.000118456696043268</v>
      </c>
      <c r="Y153" s="3" t="n">
        <f aca="false">IF(ISBLANK(I153),"",ABS(I153-SUMIFS($I$2:$I$205,$A$2:$A$205,$A153,$B$2:$B$205,$B153,$C$2:$C$205,100)))</f>
        <v>7.11136032300885E-005</v>
      </c>
      <c r="Z153" s="3" t="n">
        <f aca="false">IF(ISBLANK(J153),"",ABS(J153-SUMIFS($J$2:$J$205,$A$2:$A$205,$A153,$B$2:$B$205,$B153,$C$2:$C$205,100)))</f>
        <v>6.77500268402298E-005</v>
      </c>
      <c r="AA153" s="3" t="n">
        <f aca="false">IF(ISBLANK(K153),"",ABS(K153-SUMIFS($K$2:$K$205,$A$2:$A$205,$A153,$B$2:$B$205,$B153,$C$2:$C$205,100)))</f>
        <v>6.59499730009117E-005</v>
      </c>
      <c r="AB153" s="3" t="n">
        <f aca="false">IF(ISBLANK(L153),"",ABS(L153-SUMIFS($L$2:$L$205,$A$2:$A$205,$A153,$B$2:$B$205,$B153,$C$2:$C$205,100)))</f>
        <v>1.6598737077711E-005</v>
      </c>
      <c r="AC153" s="3" t="n">
        <f aca="false">IF(ISBLANK(M153),"",ABS(M153-SUMIFS($M$2:$M$205,$A$2:$A$205,$A153,$B$2:$B$205,$B153,$C$2:$C$205,100)))</f>
        <v>1.51958653598072E-005</v>
      </c>
      <c r="AD153" s="3" t="n">
        <f aca="false">IF(ISBLANK(N153),"",ABS(N153-SUMIFS($N$2:$N$205,$A$2:$A$205,$A153,$B$2:$B$205,$B153,$C$2:$C$205,100)))</f>
        <v>1.07234986575777E-005</v>
      </c>
      <c r="AE153" s="3" t="n">
        <f aca="false">IF(ISBLANK(O153),"",ABS(O153-SUMIFS($O$2:$O$205,$A$2:$A$205,$A153,$B$2:$B$205,$B153,$C$2:$C$205,100)))</f>
        <v>1.28337572141146E-005</v>
      </c>
      <c r="AF153" s="3" t="str">
        <f aca="false">IF(ISBLANK(P153),"",ABS(P153-SUMIFS($P$2:$P$205,$A$2:$A$205,$A153,$B$2:$B$205,$B153,$C$2:$C$205,100)))</f>
        <v/>
      </c>
      <c r="AG153" s="3" t="str">
        <f aca="false">IF(ISBLANK(Q153),"",ABS(Q153-SUMIFS($Q$2:$Q$205,$A$2:$A$205,$A153,$B$2:$B$205,$B153,$C$2:$C$205,100)))</f>
        <v/>
      </c>
      <c r="AH153" s="3" t="str">
        <f aca="false">IF(ISBLANK(R153),"",ABS(R153-SUMIFS($R$2:$R$205,$A$2:$A$205,$A153,$B$2:$B$205,$B153,$C$2:$C$205,100)))</f>
        <v/>
      </c>
      <c r="AI153" s="3" t="str">
        <f aca="false">IF(ISBLANK(S153),"",ABS(S153-SUMIFS($S$2:$S$205,$A$2:$A$205,$A153,$B$2:$B$205,$B153,$C$2:$C$205,100)))</f>
        <v/>
      </c>
      <c r="AJ153" s="3" t="n">
        <f aca="false">MAX(V153:AI153)</f>
        <v>0.000208872315397457</v>
      </c>
    </row>
    <row r="154" customFormat="false" ht="15" hidden="false" customHeight="false" outlineLevel="0" collapsed="false">
      <c r="A154" s="2" t="s">
        <v>44</v>
      </c>
      <c r="B154" s="2" t="s">
        <v>40</v>
      </c>
      <c r="C154" s="2" t="n">
        <v>50</v>
      </c>
      <c r="D154" s="3" t="n">
        <v>-3977.58364779457</v>
      </c>
      <c r="E154" s="3" t="n">
        <v>-2.86146177974135</v>
      </c>
      <c r="F154" s="3" t="n">
        <v>-710.397867917328</v>
      </c>
      <c r="G154" s="3" t="n">
        <v>-98.7384662346879</v>
      </c>
      <c r="H154" s="3" t="n">
        <v>-90.9123033942596</v>
      </c>
      <c r="I154" s="3" t="n">
        <v>-16.8650175475206</v>
      </c>
      <c r="J154" s="3" t="n">
        <v>-13.8518183994787</v>
      </c>
      <c r="K154" s="3" t="n">
        <v>-8.34780633713575</v>
      </c>
      <c r="L154" s="3" t="n">
        <v>-2.26436345302144</v>
      </c>
      <c r="M154" s="3" t="n">
        <v>-1.41261799290533</v>
      </c>
      <c r="N154" s="3" t="n">
        <v>-0.1796631532736</v>
      </c>
      <c r="O154" s="3" t="n">
        <v>-0.206690947614937</v>
      </c>
      <c r="P154" s="3"/>
      <c r="Q154" s="3"/>
      <c r="R154" s="3"/>
      <c r="S154" s="3"/>
      <c r="T154" s="3" t="n">
        <f aca="false">ABS(D154-SUMIFS($D$2:$D$205,$A$2:$A$205,$A154,$B$2:$B$205,$B154,$C$2:$C$205,100))</f>
        <v>7.8748598753009E-009</v>
      </c>
      <c r="U154" s="3" t="n">
        <f aca="false">ABS(E154-SUMIFS($E$2:$E$205,$A$2:$A$205,$A154,$B$2:$B$205,$B154,$C$2:$C$205,100))</f>
        <v>8.66304183944067E-009</v>
      </c>
      <c r="V154" s="3" t="n">
        <f aca="false">IF(ISBLANK(F154),"",ABS(F154-SUMIFS($F$2:$F$205,$A$2:$A$205,$A154,$B$2:$B$205,$B154,$C$2:$C$205,100)))</f>
        <v>7.35621597414138E-007</v>
      </c>
      <c r="W154" s="3" t="n">
        <f aca="false">IF(ISBLANK(G154),"",ABS(G154-SUMIFS($G$2:$G$205,$A$2:$A$205,$A154,$B$2:$B$205,$B154,$C$2:$C$205,100)))</f>
        <v>2.99317520102704E-007</v>
      </c>
      <c r="X154" s="3" t="n">
        <f aca="false">IF(ISBLANK(H154),"",ABS(H154-SUMIFS($H$2:$H$205,$A$2:$A$205,$A154,$B$2:$B$205,$B154,$C$2:$C$205,100)))</f>
        <v>3.40671903131806E-007</v>
      </c>
      <c r="Y154" s="3" t="n">
        <f aca="false">IF(ISBLANK(I154),"",ABS(I154-SUMIFS($I$2:$I$205,$A$2:$A$205,$A154,$B$2:$B$205,$B154,$C$2:$C$205,100)))</f>
        <v>4.09924787447835E-008</v>
      </c>
      <c r="Z154" s="3" t="n">
        <f aca="false">IF(ISBLANK(J154),"",ABS(J154-SUMIFS($J$2:$J$205,$A$2:$A$205,$A154,$B$2:$B$205,$B154,$C$2:$C$205,100)))</f>
        <v>2.9624789732452E-008</v>
      </c>
      <c r="AA154" s="3" t="n">
        <f aca="false">IF(ISBLANK(K154),"",ABS(K154-SUMIFS($K$2:$K$205,$A$2:$A$205,$A154,$B$2:$B$205,$B154,$C$2:$C$205,100)))</f>
        <v>1.17108651664921E-008</v>
      </c>
      <c r="AB154" s="3" t="n">
        <f aca="false">IF(ISBLANK(L154),"",ABS(L154-SUMIFS($L$2:$L$205,$A$2:$A$205,$A154,$B$2:$B$205,$B154,$C$2:$C$205,100)))</f>
        <v>2.95941462447047E-008</v>
      </c>
      <c r="AC154" s="3" t="n">
        <f aca="false">IF(ISBLANK(M154),"",ABS(M154-SUMIFS($M$2:$M$205,$A$2:$A$205,$A154,$B$2:$B$205,$B154,$C$2:$C$205,100)))</f>
        <v>3.22310431677408E-008</v>
      </c>
      <c r="AD154" s="3" t="n">
        <f aca="false">IF(ISBLANK(N154),"",ABS(N154-SUMIFS($N$2:$N$205,$A$2:$A$205,$A154,$B$2:$B$205,$B154,$C$2:$C$205,100)))</f>
        <v>3.30255062186424E-008</v>
      </c>
      <c r="AE154" s="3" t="n">
        <f aca="false">IF(ISBLANK(O154),"",ABS(O154-SUMIFS($O$2:$O$205,$A$2:$A$205,$A154,$B$2:$B$205,$B154,$C$2:$C$205,100)))</f>
        <v>3.13737411050674E-008</v>
      </c>
      <c r="AF154" s="3" t="str">
        <f aca="false">IF(ISBLANK(P154),"",ABS(P154-SUMIFS($P$2:$P$205,$A$2:$A$205,$A154,$B$2:$B$205,$B154,$C$2:$C$205,100)))</f>
        <v/>
      </c>
      <c r="AG154" s="3" t="str">
        <f aca="false">IF(ISBLANK(Q154),"",ABS(Q154-SUMIFS($Q$2:$Q$205,$A$2:$A$205,$A154,$B$2:$B$205,$B154,$C$2:$C$205,100)))</f>
        <v/>
      </c>
      <c r="AH154" s="3" t="str">
        <f aca="false">IF(ISBLANK(R154),"",ABS(R154-SUMIFS($R$2:$R$205,$A$2:$A$205,$A154,$B$2:$B$205,$B154,$C$2:$C$205,100)))</f>
        <v/>
      </c>
      <c r="AI154" s="3" t="str">
        <f aca="false">IF(ISBLANK(S154),"",ABS(S154-SUMIFS($S$2:$S$205,$A$2:$A$205,$A154,$B$2:$B$205,$B154,$C$2:$C$205,100)))</f>
        <v/>
      </c>
      <c r="AJ154" s="3" t="n">
        <f aca="false">MAX(V154:AI154)</f>
        <v>7.35621597414138E-007</v>
      </c>
    </row>
    <row r="155" customFormat="false" ht="15" hidden="false" customHeight="false" outlineLevel="0" collapsed="false">
      <c r="A155" s="2" t="s">
        <v>44</v>
      </c>
      <c r="B155" s="2" t="s">
        <v>40</v>
      </c>
      <c r="C155" s="2" t="n">
        <v>80</v>
      </c>
      <c r="D155" s="3" t="n">
        <v>-3977.58364780243</v>
      </c>
      <c r="E155" s="3" t="n">
        <v>-2.8614617883883</v>
      </c>
      <c r="F155" s="3" t="n">
        <v>-710.397868653034</v>
      </c>
      <c r="G155" s="3" t="n">
        <v>-98.7384665340901</v>
      </c>
      <c r="H155" s="3" t="n">
        <v>-90.9123037349315</v>
      </c>
      <c r="I155" s="3" t="n">
        <v>-16.8650175883013</v>
      </c>
      <c r="J155" s="3" t="n">
        <v>-13.8518184291035</v>
      </c>
      <c r="K155" s="3" t="n">
        <v>-8.34780634884661</v>
      </c>
      <c r="L155" s="3" t="n">
        <v>-2.2643634232155</v>
      </c>
      <c r="M155" s="3" t="n">
        <v>-1.41261796067429</v>
      </c>
      <c r="N155" s="3" t="n">
        <v>-0.179663120248094</v>
      </c>
      <c r="O155" s="3" t="n">
        <v>-0.206690916029403</v>
      </c>
      <c r="P155" s="3"/>
      <c r="Q155" s="3"/>
      <c r="R155" s="3"/>
      <c r="S155" s="3"/>
      <c r="T155" s="3" t="n">
        <f aca="false">ABS(D155-SUMIFS($D$2:$D$205,$A$2:$A$205,$A155,$B$2:$B$205,$B155,$C$2:$C$205,100))</f>
        <v>0</v>
      </c>
      <c r="U155" s="3" t="n">
        <f aca="false">ABS(E155-SUMIFS($E$2:$E$205,$A$2:$A$205,$A155,$B$2:$B$205,$B155,$C$2:$C$205,100))</f>
        <v>1.60929047865466E-011</v>
      </c>
      <c r="V155" s="3" t="n">
        <f aca="false">IF(ISBLANK(F155),"",ABS(F155-SUMIFS($F$2:$F$205,$A$2:$A$205,$A155,$B$2:$B$205,$B155,$C$2:$C$205,100)))</f>
        <v>8.45830072648823E-011</v>
      </c>
      <c r="W155" s="3" t="n">
        <f aca="false">IF(ISBLANK(G155),"",ABS(G155-SUMIFS($G$2:$G$205,$A$2:$A$205,$A155,$B$2:$B$205,$B155,$C$2:$C$205,100)))</f>
        <v>8.47535375214648E-011</v>
      </c>
      <c r="X155" s="3" t="n">
        <f aca="false">IF(ISBLANK(H155),"",ABS(H155-SUMIFS($H$2:$H$205,$A$2:$A$205,$A155,$B$2:$B$205,$B155,$C$2:$C$205,100)))</f>
        <v>0</v>
      </c>
      <c r="Y155" s="3" t="n">
        <f aca="false">IF(ISBLANK(I155),"",ABS(I155-SUMIFS($I$2:$I$205,$A$2:$A$205,$A155,$B$2:$B$205,$B155,$C$2:$C$205,100)))</f>
        <v>2.11798578675371E-010</v>
      </c>
      <c r="Z155" s="3" t="n">
        <f aca="false">IF(ISBLANK(J155),"",ABS(J155-SUMIFS($J$2:$J$205,$A$2:$A$205,$A155,$B$2:$B$205,$B155,$C$2:$C$205,100)))</f>
        <v>0</v>
      </c>
      <c r="AA155" s="3" t="n">
        <f aca="false">IF(ISBLANK(K155),"",ABS(K155-SUMIFS($K$2:$K$205,$A$2:$A$205,$A155,$B$2:$B$205,$B155,$C$2:$C$205,100)))</f>
        <v>0</v>
      </c>
      <c r="AB155" s="3" t="n">
        <f aca="false">IF(ISBLANK(L155),"",ABS(L155-SUMIFS($L$2:$L$205,$A$2:$A$205,$A155,$B$2:$B$205,$B155,$C$2:$C$205,100)))</f>
        <v>2.11792805515643E-010</v>
      </c>
      <c r="AC155" s="3" t="n">
        <f aca="false">IF(ISBLANK(M155),"",ABS(M155-SUMIFS($M$2:$M$205,$A$2:$A$205,$A155,$B$2:$B$205,$B155,$C$2:$C$205,100)))</f>
        <v>0</v>
      </c>
      <c r="AD155" s="3" t="n">
        <f aca="false">IF(ISBLANK(N155),"",ABS(N155-SUMIFS($N$2:$N$205,$A$2:$A$205,$A155,$B$2:$B$205,$B155,$C$2:$C$205,100)))</f>
        <v>0</v>
      </c>
      <c r="AE155" s="3" t="n">
        <f aca="false">IF(ISBLANK(O155),"",ABS(O155-SUMIFS($O$2:$O$205,$A$2:$A$205,$A155,$B$2:$B$205,$B155,$C$2:$C$205,100)))</f>
        <v>2.1179269449334E-010</v>
      </c>
      <c r="AF155" s="3" t="str">
        <f aca="false">IF(ISBLANK(P155),"",ABS(P155-SUMIFS($P$2:$P$205,$A$2:$A$205,$A155,$B$2:$B$205,$B155,$C$2:$C$205,100)))</f>
        <v/>
      </c>
      <c r="AG155" s="3" t="str">
        <f aca="false">IF(ISBLANK(Q155),"",ABS(Q155-SUMIFS($Q$2:$Q$205,$A$2:$A$205,$A155,$B$2:$B$205,$B155,$C$2:$C$205,100)))</f>
        <v/>
      </c>
      <c r="AH155" s="3" t="str">
        <f aca="false">IF(ISBLANK(R155),"",ABS(R155-SUMIFS($R$2:$R$205,$A$2:$A$205,$A155,$B$2:$B$205,$B155,$C$2:$C$205,100)))</f>
        <v/>
      </c>
      <c r="AI155" s="3" t="str">
        <f aca="false">IF(ISBLANK(S155),"",ABS(S155-SUMIFS($S$2:$S$205,$A$2:$A$205,$A155,$B$2:$B$205,$B155,$C$2:$C$205,100)))</f>
        <v/>
      </c>
      <c r="AJ155" s="3" t="n">
        <f aca="false">MAX(V155:AI155)</f>
        <v>2.11798578675371E-010</v>
      </c>
    </row>
    <row r="156" customFormat="false" ht="15" hidden="false" customHeight="false" outlineLevel="0" collapsed="false">
      <c r="A156" s="4" t="s">
        <v>44</v>
      </c>
      <c r="B156" s="4" t="s">
        <v>40</v>
      </c>
      <c r="C156" s="4" t="n">
        <v>100</v>
      </c>
      <c r="D156" s="5" t="n">
        <v>-3977.58364780244</v>
      </c>
      <c r="E156" s="5" t="n">
        <v>-2.86146178840439</v>
      </c>
      <c r="F156" s="3" t="n">
        <v>-710.39786865295</v>
      </c>
      <c r="G156" s="3" t="n">
        <v>-98.7384665340054</v>
      </c>
      <c r="H156" s="3" t="n">
        <v>-90.9123037349315</v>
      </c>
      <c r="I156" s="3" t="n">
        <v>-16.8650175885131</v>
      </c>
      <c r="J156" s="3" t="n">
        <v>-13.8518184291035</v>
      </c>
      <c r="K156" s="3" t="n">
        <v>-8.34780634884661</v>
      </c>
      <c r="L156" s="3" t="n">
        <v>-2.26436342342729</v>
      </c>
      <c r="M156" s="3" t="n">
        <v>-1.41261796067429</v>
      </c>
      <c r="N156" s="3" t="n">
        <v>-0.179663120248094</v>
      </c>
      <c r="O156" s="3" t="n">
        <v>-0.206690916241196</v>
      </c>
      <c r="P156" s="3"/>
      <c r="Q156" s="3"/>
      <c r="R156" s="3"/>
      <c r="S156" s="3"/>
      <c r="T156" s="3" t="n">
        <f aca="false">ABS(D156-SUMIFS($D$2:$D$205,$A$2:$A$205,$A156,$B$2:$B$205,$B156,$C$2:$C$205,100))</f>
        <v>0</v>
      </c>
      <c r="U156" s="3" t="n">
        <f aca="false">ABS(E156-SUMIFS($E$2:$E$205,$A$2:$A$205,$A156,$B$2:$B$205,$B156,$C$2:$C$205,100))</f>
        <v>0</v>
      </c>
      <c r="V156" s="3" t="n">
        <f aca="false">IF(ISBLANK(F156),"",ABS(F156-SUMIFS($F$2:$F$205,$A$2:$A$205,$A156,$B$2:$B$205,$B156,$C$2:$C$205,100)))</f>
        <v>0</v>
      </c>
      <c r="W156" s="3" t="n">
        <f aca="false">IF(ISBLANK(G156),"",ABS(G156-SUMIFS($G$2:$G$205,$A$2:$A$205,$A156,$B$2:$B$205,$B156,$C$2:$C$205,100)))</f>
        <v>0</v>
      </c>
      <c r="X156" s="3" t="n">
        <f aca="false">IF(ISBLANK(H156),"",ABS(H156-SUMIFS($H$2:$H$205,$A$2:$A$205,$A156,$B$2:$B$205,$B156,$C$2:$C$205,100)))</f>
        <v>0</v>
      </c>
      <c r="Y156" s="3" t="n">
        <f aca="false">IF(ISBLANK(I156),"",ABS(I156-SUMIFS($I$2:$I$205,$A$2:$A$205,$A156,$B$2:$B$205,$B156,$C$2:$C$205,100)))</f>
        <v>0</v>
      </c>
      <c r="Z156" s="3" t="n">
        <f aca="false">IF(ISBLANK(J156),"",ABS(J156-SUMIFS($J$2:$J$205,$A$2:$A$205,$A156,$B$2:$B$205,$B156,$C$2:$C$205,100)))</f>
        <v>0</v>
      </c>
      <c r="AA156" s="3" t="n">
        <f aca="false">IF(ISBLANK(K156),"",ABS(K156-SUMIFS($K$2:$K$205,$A$2:$A$205,$A156,$B$2:$B$205,$B156,$C$2:$C$205,100)))</f>
        <v>0</v>
      </c>
      <c r="AB156" s="3" t="n">
        <f aca="false">IF(ISBLANK(L156),"",ABS(L156-SUMIFS($L$2:$L$205,$A$2:$A$205,$A156,$B$2:$B$205,$B156,$C$2:$C$205,100)))</f>
        <v>0</v>
      </c>
      <c r="AC156" s="3" t="n">
        <f aca="false">IF(ISBLANK(M156),"",ABS(M156-SUMIFS($M$2:$M$205,$A$2:$A$205,$A156,$B$2:$B$205,$B156,$C$2:$C$205,100)))</f>
        <v>0</v>
      </c>
      <c r="AD156" s="3" t="n">
        <f aca="false">IF(ISBLANK(N156),"",ABS(N156-SUMIFS($N$2:$N$205,$A$2:$A$205,$A156,$B$2:$B$205,$B156,$C$2:$C$205,100)))</f>
        <v>0</v>
      </c>
      <c r="AE156" s="3" t="n">
        <f aca="false">IF(ISBLANK(O156),"",ABS(O156-SUMIFS($O$2:$O$205,$A$2:$A$205,$A156,$B$2:$B$205,$B156,$C$2:$C$205,100)))</f>
        <v>0</v>
      </c>
      <c r="AF156" s="3" t="str">
        <f aca="false">IF(ISBLANK(P156),"",ABS(P156-SUMIFS($P$2:$P$205,$A$2:$A$205,$A156,$B$2:$B$205,$B156,$C$2:$C$205,100)))</f>
        <v/>
      </c>
      <c r="AG156" s="3" t="str">
        <f aca="false">IF(ISBLANK(Q156),"",ABS(Q156-SUMIFS($Q$2:$Q$205,$A$2:$A$205,$A156,$B$2:$B$205,$B156,$C$2:$C$205,100)))</f>
        <v/>
      </c>
      <c r="AH156" s="3" t="str">
        <f aca="false">IF(ISBLANK(R156),"",ABS(R156-SUMIFS($R$2:$R$205,$A$2:$A$205,$A156,$B$2:$B$205,$B156,$C$2:$C$205,100)))</f>
        <v/>
      </c>
      <c r="AI156" s="3" t="str">
        <f aca="false">IF(ISBLANK(S156),"",ABS(S156-SUMIFS($S$2:$S$205,$A$2:$A$205,$A156,$B$2:$B$205,$B156,$C$2:$C$205,100)))</f>
        <v/>
      </c>
      <c r="AJ156" s="3" t="n">
        <f aca="false">MAX(V156:AI156)</f>
        <v>0</v>
      </c>
    </row>
    <row r="157" customFormat="false" ht="15" hidden="false" customHeight="false" outlineLevel="0" collapsed="false">
      <c r="A157" s="2" t="s">
        <v>44</v>
      </c>
      <c r="B157" s="2" t="s">
        <v>41</v>
      </c>
      <c r="C157" s="2" t="n">
        <v>5</v>
      </c>
      <c r="D157" s="3" t="n">
        <v>-3977.23144933982</v>
      </c>
      <c r="E157" s="3" t="n">
        <v>-2.50915417203252</v>
      </c>
      <c r="F157" s="3" t="n">
        <v>-710.367120104263</v>
      </c>
      <c r="G157" s="3" t="n">
        <v>-98.7342379267503</v>
      </c>
      <c r="H157" s="3" t="n">
        <v>-90.8952574351869</v>
      </c>
      <c r="I157" s="3" t="n">
        <v>-16.8878221468735</v>
      </c>
      <c r="J157" s="3" t="n">
        <v>-13.8728652343945</v>
      </c>
      <c r="K157" s="3" t="n">
        <v>-8.36908132382162</v>
      </c>
      <c r="L157" s="3" t="n">
        <v>-2.2682177784009</v>
      </c>
      <c r="M157" s="3" t="n">
        <v>-1.4164528357989</v>
      </c>
      <c r="N157" s="3" t="n">
        <v>-0.183675262597191</v>
      </c>
      <c r="O157" s="3" t="n">
        <v>-0.210979811472316</v>
      </c>
      <c r="P157" s="3"/>
      <c r="Q157" s="3"/>
      <c r="R157" s="3"/>
      <c r="S157" s="3"/>
      <c r="T157" s="3" t="n">
        <f aca="false">ABS(D157-SUMIFS($D$2:$D$205,$A$2:$A$205,$A157,$B$2:$B$205,$B157,$C$2:$C$205,100))</f>
        <v>0.353253545883945</v>
      </c>
      <c r="U157" s="3" t="n">
        <f aca="false">ABS(E157-SUMIFS($E$2:$E$205,$A$2:$A$205,$A157,$B$2:$B$205,$B157,$C$2:$C$205,100))</f>
        <v>0.353362682886988</v>
      </c>
      <c r="V157" s="3" t="n">
        <f aca="false">IF(ISBLANK(F157),"",ABS(F157-SUMIFS($F$2:$F$205,$A$2:$A$205,$A157,$B$2:$B$205,$B157,$C$2:$C$205,100)))</f>
        <v>0.0316881951698633</v>
      </c>
      <c r="W157" s="3" t="n">
        <f aca="false">IF(ISBLANK(G157),"",ABS(G157-SUMIFS($G$2:$G$205,$A$2:$A$205,$A157,$B$2:$B$205,$B157,$C$2:$C$205,100)))</f>
        <v>0.00429048699791679</v>
      </c>
      <c r="X157" s="3" t="n">
        <f aca="false">IF(ISBLANK(H157),"",ABS(H157-SUMIFS($H$2:$H$205,$A$2:$A$205,$A157,$B$2:$B$205,$B157,$C$2:$C$205,100)))</f>
        <v>0.0170429588079912</v>
      </c>
      <c r="Y157" s="3" t="n">
        <f aca="false">IF(ISBLANK(I157),"",ABS(I157-SUMIFS($I$2:$I$205,$A$2:$A$205,$A157,$B$2:$B$205,$B157,$C$2:$C$205,100)))</f>
        <v>0.0227944998087288</v>
      </c>
      <c r="Z157" s="3" t="n">
        <f aca="false">IF(ISBLANK(J157),"",ABS(J157-SUMIFS($J$2:$J$205,$A$2:$A$205,$A157,$B$2:$B$205,$B157,$C$2:$C$205,100)))</f>
        <v>0.02104687107086</v>
      </c>
      <c r="AA157" s="3" t="n">
        <f aca="false">IF(ISBLANK(K157),"",ABS(K157-SUMIFS($K$2:$K$205,$A$2:$A$205,$A157,$B$2:$B$205,$B157,$C$2:$C$205,100)))</f>
        <v>0.021276149848898</v>
      </c>
      <c r="AB157" s="3" t="n">
        <f aca="false">IF(ISBLANK(L157),"",ABS(L157-SUMIFS($L$2:$L$205,$A$2:$A$205,$A157,$B$2:$B$205,$B157,$C$2:$C$205,100)))</f>
        <v>0.00385270104048807</v>
      </c>
      <c r="AC157" s="3" t="n">
        <f aca="false">IF(ISBLANK(M157),"",ABS(M157-SUMIFS($M$2:$M$205,$A$2:$A$205,$A157,$B$2:$B$205,$B157,$C$2:$C$205,100)))</f>
        <v>0.003834866805287</v>
      </c>
      <c r="AD157" s="3" t="n">
        <f aca="false">IF(ISBLANK(N157),"",ABS(N157-SUMIFS($N$2:$N$205,$A$2:$A$205,$A157,$B$2:$B$205,$B157,$C$2:$C$205,100)))</f>
        <v>0.00401220995027371</v>
      </c>
      <c r="AE157" s="3" t="n">
        <f aca="false">IF(ISBLANK(O157),"",ABS(O157-SUMIFS($O$2:$O$205,$A$2:$A$205,$A157,$B$2:$B$205,$B157,$C$2:$C$205,100)))</f>
        <v>0.0042888017060477</v>
      </c>
      <c r="AF157" s="3" t="str">
        <f aca="false">IF(ISBLANK(P157),"",ABS(P157-SUMIFS($P$2:$P$205,$A$2:$A$205,$A157,$B$2:$B$205,$B157,$C$2:$C$205,100)))</f>
        <v/>
      </c>
      <c r="AG157" s="3" t="str">
        <f aca="false">IF(ISBLANK(Q157),"",ABS(Q157-SUMIFS($Q$2:$Q$205,$A$2:$A$205,$A157,$B$2:$B$205,$B157,$C$2:$C$205,100)))</f>
        <v/>
      </c>
      <c r="AH157" s="3" t="str">
        <f aca="false">IF(ISBLANK(R157),"",ABS(R157-SUMIFS($R$2:$R$205,$A$2:$A$205,$A157,$B$2:$B$205,$B157,$C$2:$C$205,100)))</f>
        <v/>
      </c>
      <c r="AI157" s="3" t="str">
        <f aca="false">IF(ISBLANK(S157),"",ABS(S157-SUMIFS($S$2:$S$205,$A$2:$A$205,$A157,$B$2:$B$205,$B157,$C$2:$C$205,100)))</f>
        <v/>
      </c>
      <c r="AJ157" s="3" t="n">
        <f aca="false">MAX(V157:AI157)</f>
        <v>0.0316881951698633</v>
      </c>
    </row>
    <row r="158" customFormat="false" ht="15" hidden="false" customHeight="false" outlineLevel="0" collapsed="false">
      <c r="A158" s="2" t="s">
        <v>44</v>
      </c>
      <c r="B158" s="2" t="s">
        <v>41</v>
      </c>
      <c r="C158" s="2" t="n">
        <v>10</v>
      </c>
      <c r="D158" s="3" t="n">
        <v>-3977.49982209441</v>
      </c>
      <c r="E158" s="3" t="n">
        <v>-2.7776765710252</v>
      </c>
      <c r="F158" s="3" t="n">
        <v>-710.344874493086</v>
      </c>
      <c r="G158" s="3" t="n">
        <v>-98.7250215303919</v>
      </c>
      <c r="H158" s="3" t="n">
        <v>-90.8883775075613</v>
      </c>
      <c r="I158" s="3" t="n">
        <v>-16.8636563942518</v>
      </c>
      <c r="J158" s="3" t="n">
        <v>-13.8503666953358</v>
      </c>
      <c r="K158" s="3" t="n">
        <v>-8.35011929775482</v>
      </c>
      <c r="L158" s="3" t="n">
        <v>-2.26445785775508</v>
      </c>
      <c r="M158" s="3" t="n">
        <v>-1.412727692133</v>
      </c>
      <c r="N158" s="3" t="n">
        <v>-0.180111310351136</v>
      </c>
      <c r="O158" s="3" t="n">
        <v>-0.207005368196794</v>
      </c>
      <c r="P158" s="3"/>
      <c r="Q158" s="3"/>
      <c r="R158" s="3"/>
      <c r="S158" s="3"/>
      <c r="T158" s="3" t="n">
        <f aca="false">ABS(D158-SUMIFS($D$2:$D$205,$A$2:$A$205,$A158,$B$2:$B$205,$B158,$C$2:$C$205,100))</f>
        <v>0.0848807912957454</v>
      </c>
      <c r="U158" s="3" t="n">
        <f aca="false">ABS(E158-SUMIFS($E$2:$E$205,$A$2:$A$205,$A158,$B$2:$B$205,$B158,$C$2:$C$205,100))</f>
        <v>0.0848402838943079</v>
      </c>
      <c r="V158" s="3" t="n">
        <f aca="false">IF(ISBLANK(F158),"",ABS(F158-SUMIFS($F$2:$F$205,$A$2:$A$205,$A158,$B$2:$B$205,$B158,$C$2:$C$205,100)))</f>
        <v>0.0539338063465493</v>
      </c>
      <c r="W158" s="3" t="n">
        <f aca="false">IF(ISBLANK(G158),"",ABS(G158-SUMIFS($G$2:$G$205,$A$2:$A$205,$A158,$B$2:$B$205,$B158,$C$2:$C$205,100)))</f>
        <v>0.013506883356257</v>
      </c>
      <c r="X158" s="3" t="n">
        <f aca="false">IF(ISBLANK(H158),"",ABS(H158-SUMIFS($H$2:$H$205,$A$2:$A$205,$A158,$B$2:$B$205,$B158,$C$2:$C$205,100)))</f>
        <v>0.0239228864335814</v>
      </c>
      <c r="Y158" s="3" t="n">
        <f aca="false">IF(ISBLANK(I158),"",ABS(I158-SUMIFS($I$2:$I$205,$A$2:$A$205,$A158,$B$2:$B$205,$B158,$C$2:$C$205,100)))</f>
        <v>0.00137125281290196</v>
      </c>
      <c r="Z158" s="3" t="n">
        <f aca="false">IF(ISBLANK(J158),"",ABS(J158-SUMIFS($J$2:$J$205,$A$2:$A$205,$A158,$B$2:$B$205,$B158,$C$2:$C$205,100)))</f>
        <v>0.0014516679878902</v>
      </c>
      <c r="AA158" s="3" t="n">
        <f aca="false">IF(ISBLANK(K158),"",ABS(K158-SUMIFS($K$2:$K$205,$A$2:$A$205,$A158,$B$2:$B$205,$B158,$C$2:$C$205,100)))</f>
        <v>0.00231412378209939</v>
      </c>
      <c r="AB158" s="3" t="n">
        <f aca="false">IF(ISBLANK(L158),"",ABS(L158-SUMIFS($L$2:$L$205,$A$2:$A$205,$A158,$B$2:$B$205,$B158,$C$2:$C$205,100)))</f>
        <v>9.27803946617622E-005</v>
      </c>
      <c r="AC158" s="3" t="n">
        <f aca="false">IF(ISBLANK(M158),"",ABS(M158-SUMIFS($M$2:$M$205,$A$2:$A$205,$A158,$B$2:$B$205,$B158,$C$2:$C$205,100)))</f>
        <v>0.000109723139383178</v>
      </c>
      <c r="AD158" s="3" t="n">
        <f aca="false">IF(ISBLANK(N158),"",ABS(N158-SUMIFS($N$2:$N$205,$A$2:$A$205,$A158,$B$2:$B$205,$B158,$C$2:$C$205,100)))</f>
        <v>0.000448257704218302</v>
      </c>
      <c r="AE158" s="3" t="n">
        <f aca="false">IF(ISBLANK(O158),"",ABS(O158-SUMIFS($O$2:$O$205,$A$2:$A$205,$A158,$B$2:$B$205,$B158,$C$2:$C$205,100)))</f>
        <v>0.000314358430526185</v>
      </c>
      <c r="AF158" s="3" t="str">
        <f aca="false">IF(ISBLANK(P158),"",ABS(P158-SUMIFS($P$2:$P$205,$A$2:$A$205,$A158,$B$2:$B$205,$B158,$C$2:$C$205,100)))</f>
        <v/>
      </c>
      <c r="AG158" s="3" t="str">
        <f aca="false">IF(ISBLANK(Q158),"",ABS(Q158-SUMIFS($Q$2:$Q$205,$A$2:$A$205,$A158,$B$2:$B$205,$B158,$C$2:$C$205,100)))</f>
        <v/>
      </c>
      <c r="AH158" s="3" t="str">
        <f aca="false">IF(ISBLANK(R158),"",ABS(R158-SUMIFS($R$2:$R$205,$A$2:$A$205,$A158,$B$2:$B$205,$B158,$C$2:$C$205,100)))</f>
        <v/>
      </c>
      <c r="AI158" s="3" t="str">
        <f aca="false">IF(ISBLANK(S158),"",ABS(S158-SUMIFS($S$2:$S$205,$A$2:$A$205,$A158,$B$2:$B$205,$B158,$C$2:$C$205,100)))</f>
        <v/>
      </c>
      <c r="AJ158" s="3" t="n">
        <f aca="false">MAX(V158:AI158)</f>
        <v>0.0539338063465493</v>
      </c>
    </row>
    <row r="159" customFormat="false" ht="15" hidden="false" customHeight="false" outlineLevel="0" collapsed="false">
      <c r="A159" s="2" t="s">
        <v>44</v>
      </c>
      <c r="B159" s="2" t="s">
        <v>41</v>
      </c>
      <c r="C159" s="2" t="n">
        <v>15</v>
      </c>
      <c r="D159" s="3" t="n">
        <v>-3977.57380769394</v>
      </c>
      <c r="E159" s="3" t="n">
        <v>-2.85163075691065</v>
      </c>
      <c r="F159" s="3" t="n">
        <v>-710.370098106361</v>
      </c>
      <c r="G159" s="3" t="n">
        <v>-98.7432965036581</v>
      </c>
      <c r="H159" s="3" t="n">
        <v>-90.9178271299925</v>
      </c>
      <c r="I159" s="3" t="n">
        <v>-16.8650326670738</v>
      </c>
      <c r="J159" s="3" t="n">
        <v>-13.8517555129202</v>
      </c>
      <c r="K159" s="3" t="n">
        <v>-8.34834008122918</v>
      </c>
      <c r="L159" s="3" t="n">
        <v>-2.2642627354941</v>
      </c>
      <c r="M159" s="3" t="n">
        <v>-1.41251604791893</v>
      </c>
      <c r="N159" s="3" t="n">
        <v>-0.179621612307364</v>
      </c>
      <c r="O159" s="3" t="n">
        <v>-0.206641493864064</v>
      </c>
      <c r="P159" s="3"/>
      <c r="Q159" s="3"/>
      <c r="R159" s="3"/>
      <c r="S159" s="3"/>
      <c r="T159" s="3" t="n">
        <f aca="false">ABS(D159-SUMIFS($D$2:$D$205,$A$2:$A$205,$A159,$B$2:$B$205,$B159,$C$2:$C$205,100))</f>
        <v>0.0108951917595732</v>
      </c>
      <c r="U159" s="3" t="n">
        <f aca="false">ABS(E159-SUMIFS($E$2:$E$205,$A$2:$A$205,$A159,$B$2:$B$205,$B159,$C$2:$C$205,100))</f>
        <v>0.0108860980088541</v>
      </c>
      <c r="V159" s="3" t="n">
        <f aca="false">IF(ISBLANK(F159),"",ABS(F159-SUMIFS($F$2:$F$205,$A$2:$A$205,$A159,$B$2:$B$205,$B159,$C$2:$C$205,100)))</f>
        <v>0.0287101930709923</v>
      </c>
      <c r="W159" s="3" t="n">
        <f aca="false">IF(ISBLANK(G159),"",ABS(G159-SUMIFS($G$2:$G$205,$A$2:$A$205,$A159,$B$2:$B$205,$B159,$C$2:$C$205,100)))</f>
        <v>0.00476808990995892</v>
      </c>
      <c r="X159" s="3" t="n">
        <f aca="false">IF(ISBLANK(H159),"",ABS(H159-SUMIFS($H$2:$H$205,$A$2:$A$205,$A159,$B$2:$B$205,$B159,$C$2:$C$205,100)))</f>
        <v>0.00552673599761988</v>
      </c>
      <c r="Y159" s="3" t="n">
        <f aca="false">IF(ISBLANK(I159),"",ABS(I159-SUMIFS($I$2:$I$205,$A$2:$A$205,$A159,$B$2:$B$205,$B159,$C$2:$C$205,100)))</f>
        <v>5.02000908042533E-006</v>
      </c>
      <c r="Z159" s="3" t="n">
        <f aca="false">IF(ISBLANK(J159),"",ABS(J159-SUMIFS($J$2:$J$205,$A$2:$A$205,$A159,$B$2:$B$205,$B159,$C$2:$C$205,100)))</f>
        <v>6.285040353049E-005</v>
      </c>
      <c r="AA159" s="3" t="n">
        <f aca="false">IF(ISBLANK(K159),"",ABS(K159-SUMIFS($K$2:$K$205,$A$2:$A$205,$A159,$B$2:$B$205,$B159,$C$2:$C$205,100)))</f>
        <v>0.000534907256463768</v>
      </c>
      <c r="AB159" s="3" t="n">
        <f aca="false">IF(ISBLANK(L159),"",ABS(L159-SUMIFS($L$2:$L$205,$A$2:$A$205,$A159,$B$2:$B$205,$B159,$C$2:$C$205,100)))</f>
        <v>0.000102341866321076</v>
      </c>
      <c r="AC159" s="3" t="n">
        <f aca="false">IF(ISBLANK(M159),"",ABS(M159-SUMIFS($M$2:$M$205,$A$2:$A$205,$A159,$B$2:$B$205,$B159,$C$2:$C$205,100)))</f>
        <v>0.000101921074682876</v>
      </c>
      <c r="AD159" s="3" t="n">
        <f aca="false">IF(ISBLANK(N159),"",ABS(N159-SUMIFS($N$2:$N$205,$A$2:$A$205,$A159,$B$2:$B$205,$B159,$C$2:$C$205,100)))</f>
        <v>4.14403395538054E-005</v>
      </c>
      <c r="AE159" s="3" t="n">
        <f aca="false">IF(ISBLANK(O159),"",ABS(O159-SUMIFS($O$2:$O$205,$A$2:$A$205,$A159,$B$2:$B$205,$B159,$C$2:$C$205,100)))</f>
        <v>4.95159022043112E-005</v>
      </c>
      <c r="AF159" s="3" t="str">
        <f aca="false">IF(ISBLANK(P159),"",ABS(P159-SUMIFS($P$2:$P$205,$A$2:$A$205,$A159,$B$2:$B$205,$B159,$C$2:$C$205,100)))</f>
        <v/>
      </c>
      <c r="AG159" s="3" t="str">
        <f aca="false">IF(ISBLANK(Q159),"",ABS(Q159-SUMIFS($Q$2:$Q$205,$A$2:$A$205,$A159,$B$2:$B$205,$B159,$C$2:$C$205,100)))</f>
        <v/>
      </c>
      <c r="AH159" s="3" t="str">
        <f aca="false">IF(ISBLANK(R159),"",ABS(R159-SUMIFS($R$2:$R$205,$A$2:$A$205,$A159,$B$2:$B$205,$B159,$C$2:$C$205,100)))</f>
        <v/>
      </c>
      <c r="AI159" s="3" t="str">
        <f aca="false">IF(ISBLANK(S159),"",ABS(S159-SUMIFS($S$2:$S$205,$A$2:$A$205,$A159,$B$2:$B$205,$B159,$C$2:$C$205,100)))</f>
        <v/>
      </c>
      <c r="AJ159" s="3" t="n">
        <f aca="false">MAX(V159:AI159)</f>
        <v>0.0287101930709923</v>
      </c>
    </row>
    <row r="160" customFormat="false" ht="15" hidden="false" customHeight="false" outlineLevel="0" collapsed="false">
      <c r="A160" s="2" t="s">
        <v>44</v>
      </c>
      <c r="B160" s="2" t="s">
        <v>41</v>
      </c>
      <c r="C160" s="2" t="n">
        <v>20</v>
      </c>
      <c r="D160" s="3" t="n">
        <v>-3977.5748477521</v>
      </c>
      <c r="E160" s="3" t="n">
        <v>-2.85267500019321</v>
      </c>
      <c r="F160" s="3" t="n">
        <v>-710.369426236815</v>
      </c>
      <c r="G160" s="3" t="n">
        <v>-98.7414483348297</v>
      </c>
      <c r="H160" s="3" t="n">
        <v>-90.9187693240927</v>
      </c>
      <c r="I160" s="3" t="n">
        <v>-16.8649653943029</v>
      </c>
      <c r="J160" s="3" t="n">
        <v>-13.8520201559725</v>
      </c>
      <c r="K160" s="3" t="n">
        <v>-8.34779815611174</v>
      </c>
      <c r="L160" s="3" t="n">
        <v>-2.26435096932383</v>
      </c>
      <c r="M160" s="3" t="n">
        <v>-1.4126407006569</v>
      </c>
      <c r="N160" s="3" t="n">
        <v>-0.17966554096945</v>
      </c>
      <c r="O160" s="3" t="n">
        <v>-0.206691052950115</v>
      </c>
      <c r="P160" s="3"/>
      <c r="Q160" s="3"/>
      <c r="R160" s="3"/>
      <c r="S160" s="3"/>
      <c r="T160" s="3" t="n">
        <f aca="false">ABS(D160-SUMIFS($D$2:$D$205,$A$2:$A$205,$A160,$B$2:$B$205,$B160,$C$2:$C$205,100))</f>
        <v>0.00985513360183177</v>
      </c>
      <c r="U160" s="3" t="n">
        <f aca="false">ABS(E160-SUMIFS($E$2:$E$205,$A$2:$A$205,$A160,$B$2:$B$205,$B160,$C$2:$C$205,100))</f>
        <v>0.00984185472630017</v>
      </c>
      <c r="V160" s="3" t="n">
        <f aca="false">IF(ISBLANK(F160),"",ABS(F160-SUMIFS($F$2:$F$205,$A$2:$A$205,$A160,$B$2:$B$205,$B160,$C$2:$C$205,100)))</f>
        <v>0.0293820626175147</v>
      </c>
      <c r="W160" s="3" t="n">
        <f aca="false">IF(ISBLANK(G160),"",ABS(G160-SUMIFS($G$2:$G$205,$A$2:$A$205,$A160,$B$2:$B$205,$B160,$C$2:$C$205,100)))</f>
        <v>0.00291992108151362</v>
      </c>
      <c r="X160" s="3" t="n">
        <f aca="false">IF(ISBLANK(H160),"",ABS(H160-SUMIFS($H$2:$H$205,$A$2:$A$205,$A160,$B$2:$B$205,$B160,$C$2:$C$205,100)))</f>
        <v>0.00646893009783867</v>
      </c>
      <c r="Y160" s="3" t="n">
        <f aca="false">IF(ISBLANK(I160),"",ABS(I160-SUMIFS($I$2:$I$205,$A$2:$A$205,$A160,$B$2:$B$205,$B160,$C$2:$C$205,100)))</f>
        <v>6.22527618610036E-005</v>
      </c>
      <c r="Z160" s="3" t="n">
        <f aca="false">IF(ISBLANK(J160),"",ABS(J160-SUMIFS($J$2:$J$205,$A$2:$A$205,$A160,$B$2:$B$205,$B160,$C$2:$C$205,100)))</f>
        <v>0.000201792648820032</v>
      </c>
      <c r="AA160" s="3" t="n">
        <f aca="false">IF(ISBLANK(K160),"",ABS(K160-SUMIFS($K$2:$K$205,$A$2:$A$205,$A160,$B$2:$B$205,$B160,$C$2:$C$205,100)))</f>
        <v>7.01786097856427E-006</v>
      </c>
      <c r="AB160" s="3" t="n">
        <f aca="false">IF(ISBLANK(L160),"",ABS(L160-SUMIFS($L$2:$L$205,$A$2:$A$205,$A160,$B$2:$B$205,$B160,$C$2:$C$205,100)))</f>
        <v>1.41080365820834E-005</v>
      </c>
      <c r="AC160" s="3" t="n">
        <f aca="false">IF(ISBLANK(M160),"",ABS(M160-SUMIFS($M$2:$M$205,$A$2:$A$205,$A160,$B$2:$B$205,$B160,$C$2:$C$205,100)))</f>
        <v>2.27316632781527E-005</v>
      </c>
      <c r="AD160" s="3" t="n">
        <f aca="false">IF(ISBLANK(N160),"",ABS(N160-SUMIFS($N$2:$N$205,$A$2:$A$205,$A160,$B$2:$B$205,$B160,$C$2:$C$205,100)))</f>
        <v>2.48832253180176E-006</v>
      </c>
      <c r="AE160" s="3" t="n">
        <f aca="false">IF(ISBLANK(O160),"",ABS(O160-SUMIFS($O$2:$O$205,$A$2:$A$205,$A160,$B$2:$B$205,$B160,$C$2:$C$205,100)))</f>
        <v>4.31838470815737E-008</v>
      </c>
      <c r="AF160" s="3" t="str">
        <f aca="false">IF(ISBLANK(P160),"",ABS(P160-SUMIFS($P$2:$P$205,$A$2:$A$205,$A160,$B$2:$B$205,$B160,$C$2:$C$205,100)))</f>
        <v/>
      </c>
      <c r="AG160" s="3" t="str">
        <f aca="false">IF(ISBLANK(Q160),"",ABS(Q160-SUMIFS($Q$2:$Q$205,$A$2:$A$205,$A160,$B$2:$B$205,$B160,$C$2:$C$205,100)))</f>
        <v/>
      </c>
      <c r="AH160" s="3" t="str">
        <f aca="false">IF(ISBLANK(R160),"",ABS(R160-SUMIFS($R$2:$R$205,$A$2:$A$205,$A160,$B$2:$B$205,$B160,$C$2:$C$205,100)))</f>
        <v/>
      </c>
      <c r="AI160" s="3" t="str">
        <f aca="false">IF(ISBLANK(S160),"",ABS(S160-SUMIFS($S$2:$S$205,$A$2:$A$205,$A160,$B$2:$B$205,$B160,$C$2:$C$205,100)))</f>
        <v/>
      </c>
      <c r="AJ160" s="3" t="n">
        <f aca="false">MAX(V160:AI160)</f>
        <v>0.0293820626175147</v>
      </c>
    </row>
    <row r="161" customFormat="false" ht="15" hidden="false" customHeight="false" outlineLevel="0" collapsed="false">
      <c r="A161" s="2" t="s">
        <v>44</v>
      </c>
      <c r="B161" s="2" t="s">
        <v>41</v>
      </c>
      <c r="C161" s="2" t="n">
        <v>30</v>
      </c>
      <c r="D161" s="3" t="n">
        <v>-3977.58969380917</v>
      </c>
      <c r="E161" s="3" t="n">
        <v>-2.86751219808224</v>
      </c>
      <c r="F161" s="3" t="n">
        <v>-710.379199458049</v>
      </c>
      <c r="G161" s="3" t="n">
        <v>-98.7376730201533</v>
      </c>
      <c r="H161" s="3" t="n">
        <v>-90.9139068022902</v>
      </c>
      <c r="I161" s="3" t="n">
        <v>-16.8648414289445</v>
      </c>
      <c r="J161" s="3" t="n">
        <v>-13.8519647764683</v>
      </c>
      <c r="K161" s="3" t="n">
        <v>-8.34777571609238</v>
      </c>
      <c r="L161" s="3" t="n">
        <v>-2.26433418572823</v>
      </c>
      <c r="M161" s="3" t="n">
        <v>-1.41263754564917</v>
      </c>
      <c r="N161" s="3" t="n">
        <v>-0.179663476810564</v>
      </c>
      <c r="O161" s="3" t="n">
        <v>-0.206690900241032</v>
      </c>
      <c r="P161" s="3"/>
      <c r="Q161" s="3"/>
      <c r="R161" s="3"/>
      <c r="S161" s="3"/>
      <c r="T161" s="3" t="n">
        <f aca="false">ABS(D161-SUMIFS($D$2:$D$205,$A$2:$A$205,$A161,$B$2:$B$205,$B161,$C$2:$C$205,100))</f>
        <v>0.00499092346217367</v>
      </c>
      <c r="U161" s="3" t="n">
        <f aca="false">ABS(E161-SUMIFS($E$2:$E$205,$A$2:$A$205,$A161,$B$2:$B$205,$B161,$C$2:$C$205,100))</f>
        <v>0.00499534316273698</v>
      </c>
      <c r="V161" s="3" t="n">
        <f aca="false">IF(ISBLANK(F161),"",ABS(F161-SUMIFS($F$2:$F$205,$A$2:$A$205,$A161,$B$2:$B$205,$B161,$C$2:$C$205,100)))</f>
        <v>0.0196088413831603</v>
      </c>
      <c r="W161" s="3" t="n">
        <f aca="false">IF(ISBLANK(G161),"",ABS(G161-SUMIFS($G$2:$G$205,$A$2:$A$205,$A161,$B$2:$B$205,$B161,$C$2:$C$205,100)))</f>
        <v>0.000855393594861198</v>
      </c>
      <c r="X161" s="3" t="n">
        <f aca="false">IF(ISBLANK(H161),"",ABS(H161-SUMIFS($H$2:$H$205,$A$2:$A$205,$A161,$B$2:$B$205,$B161,$C$2:$C$205,100)))</f>
        <v>0.00160640829528802</v>
      </c>
      <c r="Y161" s="3" t="n">
        <f aca="false">IF(ISBLANK(I161),"",ABS(I161-SUMIFS($I$2:$I$205,$A$2:$A$205,$A161,$B$2:$B$205,$B161,$C$2:$C$205,100)))</f>
        <v>0.0001862181202128</v>
      </c>
      <c r="Z161" s="3" t="n">
        <f aca="false">IF(ISBLANK(J161),"",ABS(J161-SUMIFS($J$2:$J$205,$A$2:$A$205,$A161,$B$2:$B$205,$B161,$C$2:$C$205,100)))</f>
        <v>0.000146413144600288</v>
      </c>
      <c r="AA161" s="3" t="n">
        <f aca="false">IF(ISBLANK(K161),"",ABS(K161-SUMIFS($K$2:$K$205,$A$2:$A$205,$A161,$B$2:$B$205,$B161,$C$2:$C$205,100)))</f>
        <v>2.94578803359258E-005</v>
      </c>
      <c r="AB161" s="3" t="n">
        <f aca="false">IF(ISBLANK(L161),"",ABS(L161-SUMIFS($L$2:$L$205,$A$2:$A$205,$A161,$B$2:$B$205,$B161,$C$2:$C$205,100)))</f>
        <v>3.08916321860586E-005</v>
      </c>
      <c r="AC161" s="3" t="n">
        <f aca="false">IF(ISBLANK(M161),"",ABS(M161-SUMIFS($M$2:$M$205,$A$2:$A$205,$A161,$B$2:$B$205,$B161,$C$2:$C$205,100)))</f>
        <v>1.95766555501908E-005</v>
      </c>
      <c r="AD161" s="3" t="n">
        <f aca="false">IF(ISBLANK(N161),"",ABS(N161-SUMIFS($N$2:$N$205,$A$2:$A$205,$A161,$B$2:$B$205,$B161,$C$2:$C$205,100)))</f>
        <v>4.24163646400855E-007</v>
      </c>
      <c r="AE161" s="3" t="n">
        <f aca="false">IF(ISBLANK(O161),"",ABS(O161-SUMIFS($O$2:$O$205,$A$2:$A$205,$A161,$B$2:$B$205,$B161,$C$2:$C$205,100)))</f>
        <v>1.09525235519881E-007</v>
      </c>
      <c r="AF161" s="3" t="str">
        <f aca="false">IF(ISBLANK(P161),"",ABS(P161-SUMIFS($P$2:$P$205,$A$2:$A$205,$A161,$B$2:$B$205,$B161,$C$2:$C$205,100)))</f>
        <v/>
      </c>
      <c r="AG161" s="3" t="str">
        <f aca="false">IF(ISBLANK(Q161),"",ABS(Q161-SUMIFS($Q$2:$Q$205,$A$2:$A$205,$A161,$B$2:$B$205,$B161,$C$2:$C$205,100)))</f>
        <v/>
      </c>
      <c r="AH161" s="3" t="str">
        <f aca="false">IF(ISBLANK(R161),"",ABS(R161-SUMIFS($R$2:$R$205,$A$2:$A$205,$A161,$B$2:$B$205,$B161,$C$2:$C$205,100)))</f>
        <v/>
      </c>
      <c r="AI161" s="3" t="str">
        <f aca="false">IF(ISBLANK(S161),"",ABS(S161-SUMIFS($S$2:$S$205,$A$2:$A$205,$A161,$B$2:$B$205,$B161,$C$2:$C$205,100)))</f>
        <v/>
      </c>
      <c r="AJ161" s="3" t="n">
        <f aca="false">MAX(V161:AI161)</f>
        <v>0.0196088413831603</v>
      </c>
    </row>
    <row r="162" customFormat="false" ht="15" hidden="false" customHeight="false" outlineLevel="0" collapsed="false">
      <c r="A162" s="2" t="s">
        <v>44</v>
      </c>
      <c r="B162" s="2" t="s">
        <v>41</v>
      </c>
      <c r="C162" s="2" t="n">
        <v>50</v>
      </c>
      <c r="D162" s="3" t="n">
        <v>-3977.59150263659</v>
      </c>
      <c r="E162" s="3" t="n">
        <v>-2.86931720406983</v>
      </c>
      <c r="F162" s="3" t="n">
        <v>-710.404537362715</v>
      </c>
      <c r="G162" s="3" t="n">
        <v>-98.7387740190022</v>
      </c>
      <c r="H162" s="3" t="n">
        <v>-90.912645607642</v>
      </c>
      <c r="I162" s="3" t="n">
        <v>-16.8650704928408</v>
      </c>
      <c r="J162" s="3" t="n">
        <v>-13.8518756585015</v>
      </c>
      <c r="K162" s="3" t="n">
        <v>-8.34777930866987</v>
      </c>
      <c r="L162" s="3" t="n">
        <v>-2.26437262676515</v>
      </c>
      <c r="M162" s="3" t="n">
        <v>-1.41262651840482</v>
      </c>
      <c r="N162" s="3" t="n">
        <v>-0.179662153878031</v>
      </c>
      <c r="O162" s="3" t="n">
        <v>-0.206691768764681</v>
      </c>
      <c r="P162" s="3"/>
      <c r="Q162" s="3"/>
      <c r="R162" s="3"/>
      <c r="S162" s="3"/>
      <c r="T162" s="3" t="n">
        <f aca="false">ABS(D162-SUMIFS($D$2:$D$205,$A$2:$A$205,$A162,$B$2:$B$205,$B162,$C$2:$C$205,100))</f>
        <v>0.00679975088905849</v>
      </c>
      <c r="U162" s="3" t="n">
        <f aca="false">ABS(E162-SUMIFS($E$2:$E$205,$A$2:$A$205,$A162,$B$2:$B$205,$B162,$C$2:$C$205,100))</f>
        <v>0.00680034915032213</v>
      </c>
      <c r="V162" s="3" t="n">
        <f aca="false">IF(ISBLANK(F162),"",ABS(F162-SUMIFS($F$2:$F$205,$A$2:$A$205,$A162,$B$2:$B$205,$B162,$C$2:$C$205,100)))</f>
        <v>0.00572906328261524</v>
      </c>
      <c r="W162" s="3" t="n">
        <f aca="false">IF(ISBLANK(G162),"",ABS(G162-SUMIFS($G$2:$G$205,$A$2:$A$205,$A162,$B$2:$B$205,$B162,$C$2:$C$205,100)))</f>
        <v>0.000245605254022507</v>
      </c>
      <c r="X162" s="3" t="n">
        <f aca="false">IF(ISBLANK(H162),"",ABS(H162-SUMIFS($H$2:$H$205,$A$2:$A$205,$A162,$B$2:$B$205,$B162,$C$2:$C$205,100)))</f>
        <v>0.000345213647079845</v>
      </c>
      <c r="Y162" s="3" t="n">
        <f aca="false">IF(ISBLANK(I162),"",ABS(I162-SUMIFS($I$2:$I$205,$A$2:$A$205,$A162,$B$2:$B$205,$B162,$C$2:$C$205,100)))</f>
        <v>4.28457760470735E-005</v>
      </c>
      <c r="Z162" s="3" t="n">
        <f aca="false">IF(ISBLANK(J162),"",ABS(J162-SUMIFS($J$2:$J$205,$A$2:$A$205,$A162,$B$2:$B$205,$B162,$C$2:$C$205,100)))</f>
        <v>5.72951778501363E-005</v>
      </c>
      <c r="AA162" s="3" t="n">
        <f aca="false">IF(ISBLANK(K162),"",ABS(K162-SUMIFS($K$2:$K$205,$A$2:$A$205,$A162,$B$2:$B$205,$B162,$C$2:$C$205,100)))</f>
        <v>2.58653028470945E-005</v>
      </c>
      <c r="AB162" s="3" t="n">
        <f aca="false">IF(ISBLANK(L162),"",ABS(L162-SUMIFS($L$2:$L$205,$A$2:$A$205,$A162,$B$2:$B$205,$B162,$C$2:$C$205,100)))</f>
        <v>7.54940473690624E-006</v>
      </c>
      <c r="AC162" s="3" t="n">
        <f aca="false">IF(ISBLANK(M162),"",ABS(M162-SUMIFS($M$2:$M$205,$A$2:$A$205,$A162,$B$2:$B$205,$B162,$C$2:$C$205,100)))</f>
        <v>8.54941120209674E-006</v>
      </c>
      <c r="AD162" s="3" t="n">
        <f aca="false">IF(ISBLANK(N162),"",ABS(N162-SUMIFS($N$2:$N$205,$A$2:$A$205,$A162,$B$2:$B$205,$B162,$C$2:$C$205,100)))</f>
        <v>8.98768886703483E-007</v>
      </c>
      <c r="AE162" s="3" t="n">
        <f aca="false">IF(ISBLANK(O162),"",ABS(O162-SUMIFS($O$2:$O$205,$A$2:$A$205,$A162,$B$2:$B$205,$B162,$C$2:$C$205,100)))</f>
        <v>7.58998412786482E-007</v>
      </c>
      <c r="AF162" s="3" t="str">
        <f aca="false">IF(ISBLANK(P162),"",ABS(P162-SUMIFS($P$2:$P$205,$A$2:$A$205,$A162,$B$2:$B$205,$B162,$C$2:$C$205,100)))</f>
        <v/>
      </c>
      <c r="AG162" s="3" t="str">
        <f aca="false">IF(ISBLANK(Q162),"",ABS(Q162-SUMIFS($Q$2:$Q$205,$A$2:$A$205,$A162,$B$2:$B$205,$B162,$C$2:$C$205,100)))</f>
        <v/>
      </c>
      <c r="AH162" s="3" t="str">
        <f aca="false">IF(ISBLANK(R162),"",ABS(R162-SUMIFS($R$2:$R$205,$A$2:$A$205,$A162,$B$2:$B$205,$B162,$C$2:$C$205,100)))</f>
        <v/>
      </c>
      <c r="AI162" s="3" t="str">
        <f aca="false">IF(ISBLANK(S162),"",ABS(S162-SUMIFS($S$2:$S$205,$A$2:$A$205,$A162,$B$2:$B$205,$B162,$C$2:$C$205,100)))</f>
        <v/>
      </c>
      <c r="AJ162" s="3" t="n">
        <f aca="false">MAX(V162:AI162)</f>
        <v>0.00572906328261524</v>
      </c>
    </row>
    <row r="163" customFormat="false" ht="15" hidden="false" customHeight="false" outlineLevel="0" collapsed="false">
      <c r="A163" s="2" t="s">
        <v>44</v>
      </c>
      <c r="B163" s="2" t="s">
        <v>41</v>
      </c>
      <c r="C163" s="2" t="n">
        <v>80</v>
      </c>
      <c r="D163" s="3" t="n">
        <v>-3977.58559087717</v>
      </c>
      <c r="E163" s="3" t="n">
        <v>-2.86340491788473</v>
      </c>
      <c r="F163" s="3" t="n">
        <v>-710.399496329921</v>
      </c>
      <c r="G163" s="3" t="n">
        <v>-98.738555448703</v>
      </c>
      <c r="H163" s="3" t="n">
        <v>-90.9123120934125</v>
      </c>
      <c r="I163" s="3" t="n">
        <v>-16.8650323313756</v>
      </c>
      <c r="J163" s="3" t="n">
        <v>-13.8518216488596</v>
      </c>
      <c r="K163" s="3" t="n">
        <v>-8.34780331764237</v>
      </c>
      <c r="L163" s="3" t="n">
        <v>-2.26436589893093</v>
      </c>
      <c r="M163" s="3" t="n">
        <v>-1.4126185039526</v>
      </c>
      <c r="N163" s="3" t="n">
        <v>-0.179662993118228</v>
      </c>
      <c r="O163" s="3" t="n">
        <v>-0.206691084422319</v>
      </c>
      <c r="P163" s="3"/>
      <c r="Q163" s="3"/>
      <c r="R163" s="3"/>
      <c r="S163" s="3"/>
      <c r="T163" s="3" t="n">
        <f aca="false">ABS(D163-SUMIFS($D$2:$D$205,$A$2:$A$205,$A163,$B$2:$B$205,$B163,$C$2:$C$205,100))</f>
        <v>0.000887991468061955</v>
      </c>
      <c r="U163" s="3" t="n">
        <f aca="false">ABS(E163-SUMIFS($E$2:$E$205,$A$2:$A$205,$A163,$B$2:$B$205,$B163,$C$2:$C$205,100))</f>
        <v>0.000888062965219927</v>
      </c>
      <c r="V163" s="3" t="n">
        <f aca="false">IF(ISBLANK(F163),"",ABS(F163-SUMIFS($F$2:$F$205,$A$2:$A$205,$A163,$B$2:$B$205,$B163,$C$2:$C$205,100)))</f>
        <v>0.00068803048884547</v>
      </c>
      <c r="W163" s="3" t="n">
        <f aca="false">IF(ISBLANK(G163),"",ABS(G163-SUMIFS($G$2:$G$205,$A$2:$A$205,$A163,$B$2:$B$205,$B163,$C$2:$C$205,100)))</f>
        <v>2.70349547975002E-005</v>
      </c>
      <c r="X163" s="3" t="n">
        <f aca="false">IF(ISBLANK(H163),"",ABS(H163-SUMIFS($H$2:$H$205,$A$2:$A$205,$A163,$B$2:$B$205,$B163,$C$2:$C$205,100)))</f>
        <v>1.16994175698437E-005</v>
      </c>
      <c r="Y163" s="3" t="n">
        <f aca="false">IF(ISBLANK(I163),"",ABS(I163-SUMIFS($I$2:$I$205,$A$2:$A$205,$A163,$B$2:$B$205,$B163,$C$2:$C$205,100)))</f>
        <v>4.68431089828414E-006</v>
      </c>
      <c r="Z163" s="3" t="n">
        <f aca="false">IF(ISBLANK(J163),"",ABS(J163-SUMIFS($J$2:$J$205,$A$2:$A$205,$A163,$B$2:$B$205,$B163,$C$2:$C$205,100)))</f>
        <v>3.28553587003455E-006</v>
      </c>
      <c r="AA163" s="3" t="n">
        <f aca="false">IF(ISBLANK(K163),"",ABS(K163-SUMIFS($K$2:$K$205,$A$2:$A$205,$A163,$B$2:$B$205,$B163,$C$2:$C$205,100)))</f>
        <v>1.85633034455179E-006</v>
      </c>
      <c r="AB163" s="3" t="n">
        <f aca="false">IF(ISBLANK(L163),"",ABS(L163-SUMIFS($L$2:$L$205,$A$2:$A$205,$A163,$B$2:$B$205,$B163,$C$2:$C$205,100)))</f>
        <v>8.21570511178038E-007</v>
      </c>
      <c r="AC163" s="3" t="n">
        <f aca="false">IF(ISBLANK(M163),"",ABS(M163-SUMIFS($M$2:$M$205,$A$2:$A$205,$A163,$B$2:$B$205,$B163,$C$2:$C$205,100)))</f>
        <v>5.34958982001399E-007</v>
      </c>
      <c r="AD163" s="3" t="n">
        <f aca="false">IF(ISBLANK(N163),"",ABS(N163-SUMIFS($N$2:$N$205,$A$2:$A$205,$A163,$B$2:$B$205,$B163,$C$2:$C$205,100)))</f>
        <v>5.95286900051395E-008</v>
      </c>
      <c r="AE163" s="3" t="n">
        <f aca="false">IF(ISBLANK(O163),"",ABS(O163-SUMIFS($O$2:$O$205,$A$2:$A$205,$A163,$B$2:$B$205,$B163,$C$2:$C$205,100)))</f>
        <v>7.46560509801153E-008</v>
      </c>
      <c r="AF163" s="3" t="str">
        <f aca="false">IF(ISBLANK(P163),"",ABS(P163-SUMIFS($P$2:$P$205,$A$2:$A$205,$A163,$B$2:$B$205,$B163,$C$2:$C$205,100)))</f>
        <v/>
      </c>
      <c r="AG163" s="3" t="str">
        <f aca="false">IF(ISBLANK(Q163),"",ABS(Q163-SUMIFS($Q$2:$Q$205,$A$2:$A$205,$A163,$B$2:$B$205,$B163,$C$2:$C$205,100)))</f>
        <v/>
      </c>
      <c r="AH163" s="3" t="str">
        <f aca="false">IF(ISBLANK(R163),"",ABS(R163-SUMIFS($R$2:$R$205,$A$2:$A$205,$A163,$B$2:$B$205,$B163,$C$2:$C$205,100)))</f>
        <v/>
      </c>
      <c r="AI163" s="3" t="str">
        <f aca="false">IF(ISBLANK(S163),"",ABS(S163-SUMIFS($S$2:$S$205,$A$2:$A$205,$A163,$B$2:$B$205,$B163,$C$2:$C$205,100)))</f>
        <v/>
      </c>
      <c r="AJ163" s="3" t="n">
        <f aca="false">MAX(V163:AI163)</f>
        <v>0.00068803048884547</v>
      </c>
    </row>
    <row r="164" customFormat="false" ht="15" hidden="false" customHeight="false" outlineLevel="0" collapsed="false">
      <c r="A164" s="4" t="s">
        <v>44</v>
      </c>
      <c r="B164" s="4" t="s">
        <v>41</v>
      </c>
      <c r="C164" s="4" t="n">
        <v>100</v>
      </c>
      <c r="D164" s="5" t="n">
        <v>-3977.5847028857</v>
      </c>
      <c r="E164" s="5" t="n">
        <v>-2.86251685491951</v>
      </c>
      <c r="F164" s="3" t="n">
        <v>-710.398808299432</v>
      </c>
      <c r="G164" s="3" t="n">
        <v>-98.7385284137482</v>
      </c>
      <c r="H164" s="3" t="n">
        <v>-90.9123003939949</v>
      </c>
      <c r="I164" s="3" t="n">
        <v>-16.8650276470647</v>
      </c>
      <c r="J164" s="3" t="n">
        <v>-13.8518183633237</v>
      </c>
      <c r="K164" s="3" t="n">
        <v>-8.34780517397272</v>
      </c>
      <c r="L164" s="3" t="n">
        <v>-2.26436507736042</v>
      </c>
      <c r="M164" s="3" t="n">
        <v>-1.41261796899362</v>
      </c>
      <c r="N164" s="3" t="n">
        <v>-0.179663052646918</v>
      </c>
      <c r="O164" s="3" t="n">
        <v>-0.206691009766268</v>
      </c>
      <c r="P164" s="3"/>
      <c r="Q164" s="3"/>
      <c r="R164" s="3"/>
      <c r="S164" s="3"/>
      <c r="T164" s="3" t="n">
        <f aca="false">ABS(D164-SUMIFS($D$2:$D$205,$A$2:$A$205,$A164,$B$2:$B$205,$B164,$C$2:$C$205,100))</f>
        <v>0</v>
      </c>
      <c r="U164" s="3" t="n">
        <f aca="false">ABS(E164-SUMIFS($E$2:$E$205,$A$2:$A$205,$A164,$B$2:$B$205,$B164,$C$2:$C$205,100))</f>
        <v>0</v>
      </c>
      <c r="V164" s="3" t="n">
        <f aca="false">IF(ISBLANK(F164),"",ABS(F164-SUMIFS($F$2:$F$205,$A$2:$A$205,$A164,$B$2:$B$205,$B164,$C$2:$C$205,100)))</f>
        <v>0</v>
      </c>
      <c r="W164" s="3" t="n">
        <f aca="false">IF(ISBLANK(G164),"",ABS(G164-SUMIFS($G$2:$G$205,$A$2:$A$205,$A164,$B$2:$B$205,$B164,$C$2:$C$205,100)))</f>
        <v>0</v>
      </c>
      <c r="X164" s="3" t="n">
        <f aca="false">IF(ISBLANK(H164),"",ABS(H164-SUMIFS($H$2:$H$205,$A$2:$A$205,$A164,$B$2:$B$205,$B164,$C$2:$C$205,100)))</f>
        <v>0</v>
      </c>
      <c r="Y164" s="3" t="n">
        <f aca="false">IF(ISBLANK(I164),"",ABS(I164-SUMIFS($I$2:$I$205,$A$2:$A$205,$A164,$B$2:$B$205,$B164,$C$2:$C$205,100)))</f>
        <v>0</v>
      </c>
      <c r="Z164" s="3" t="n">
        <f aca="false">IF(ISBLANK(J164),"",ABS(J164-SUMIFS($J$2:$J$205,$A$2:$A$205,$A164,$B$2:$B$205,$B164,$C$2:$C$205,100)))</f>
        <v>0</v>
      </c>
      <c r="AA164" s="3" t="n">
        <f aca="false">IF(ISBLANK(K164),"",ABS(K164-SUMIFS($K$2:$K$205,$A$2:$A$205,$A164,$B$2:$B$205,$B164,$C$2:$C$205,100)))</f>
        <v>0</v>
      </c>
      <c r="AB164" s="3" t="n">
        <f aca="false">IF(ISBLANK(L164),"",ABS(L164-SUMIFS($L$2:$L$205,$A$2:$A$205,$A164,$B$2:$B$205,$B164,$C$2:$C$205,100)))</f>
        <v>0</v>
      </c>
      <c r="AC164" s="3" t="n">
        <f aca="false">IF(ISBLANK(M164),"",ABS(M164-SUMIFS($M$2:$M$205,$A$2:$A$205,$A164,$B$2:$B$205,$B164,$C$2:$C$205,100)))</f>
        <v>0</v>
      </c>
      <c r="AD164" s="3" t="n">
        <f aca="false">IF(ISBLANK(N164),"",ABS(N164-SUMIFS($N$2:$N$205,$A$2:$A$205,$A164,$B$2:$B$205,$B164,$C$2:$C$205,100)))</f>
        <v>0</v>
      </c>
      <c r="AE164" s="3" t="n">
        <f aca="false">IF(ISBLANK(O164),"",ABS(O164-SUMIFS($O$2:$O$205,$A$2:$A$205,$A164,$B$2:$B$205,$B164,$C$2:$C$205,100)))</f>
        <v>0</v>
      </c>
      <c r="AF164" s="3" t="str">
        <f aca="false">IF(ISBLANK(P164),"",ABS(P164-SUMIFS($P$2:$P$205,$A$2:$A$205,$A164,$B$2:$B$205,$B164,$C$2:$C$205,100)))</f>
        <v/>
      </c>
      <c r="AG164" s="3" t="str">
        <f aca="false">IF(ISBLANK(Q164),"",ABS(Q164-SUMIFS($Q$2:$Q$205,$A$2:$A$205,$A164,$B$2:$B$205,$B164,$C$2:$C$205,100)))</f>
        <v/>
      </c>
      <c r="AH164" s="3" t="str">
        <f aca="false">IF(ISBLANK(R164),"",ABS(R164-SUMIFS($R$2:$R$205,$A$2:$A$205,$A164,$B$2:$B$205,$B164,$C$2:$C$205,100)))</f>
        <v/>
      </c>
      <c r="AI164" s="3" t="str">
        <f aca="false">IF(ISBLANK(S164),"",ABS(S164-SUMIFS($S$2:$S$205,$A$2:$A$205,$A164,$B$2:$B$205,$B164,$C$2:$C$205,100)))</f>
        <v/>
      </c>
      <c r="AJ164" s="3" t="n">
        <f aca="false">MAX(V164:AI164)</f>
        <v>0</v>
      </c>
    </row>
    <row r="165" customFormat="false" ht="15" hidden="false" customHeight="false" outlineLevel="0" collapsed="false">
      <c r="A165" s="2" t="s">
        <v>45</v>
      </c>
      <c r="B165" s="2" t="s">
        <v>37</v>
      </c>
      <c r="C165" s="2" t="n">
        <v>5</v>
      </c>
      <c r="D165" s="3" t="n">
        <v>-17871.1168942625</v>
      </c>
      <c r="E165" s="3" t="n">
        <v>-5.83439292839868</v>
      </c>
      <c r="F165" s="3" t="n">
        <v>-2685.75308835796</v>
      </c>
      <c r="G165" s="3" t="n">
        <v>-448.235577237139</v>
      </c>
      <c r="H165" s="3" t="n">
        <v>-430.891082148928</v>
      </c>
      <c r="I165" s="3" t="n">
        <v>-105.026001287379</v>
      </c>
      <c r="J165" s="3" t="n">
        <v>-96.841042345949</v>
      </c>
      <c r="K165" s="3" t="n">
        <v>-81.5806802003061</v>
      </c>
      <c r="L165" s="3" t="n">
        <v>-22.3563071834558</v>
      </c>
      <c r="M165" s="3" t="n">
        <v>-18.8204070834496</v>
      </c>
      <c r="N165" s="3" t="n">
        <v>-12.3263082375951</v>
      </c>
      <c r="O165" s="3" t="n">
        <v>-3.63793441568342</v>
      </c>
      <c r="P165" s="3" t="n">
        <v>-3.15317137197077</v>
      </c>
      <c r="Q165" s="3" t="n">
        <v>-2.04490214083398</v>
      </c>
      <c r="R165" s="3" t="n">
        <v>-0.360168111008391</v>
      </c>
      <c r="S165" s="3" t="n">
        <v>-0.213125208546126</v>
      </c>
      <c r="T165" s="3" t="n">
        <f aca="false">ABS(D165-SUMIFS($D$2:$D$205,$A$2:$A$205,$A165,$B$2:$B$205,$B165,$C$2:$C$205,100))</f>
        <v>0.049692612439685</v>
      </c>
      <c r="U165" s="3" t="n">
        <f aca="false">ABS(E165-SUMIFS($E$2:$E$205,$A$2:$A$205,$A165,$B$2:$B$205,$B165,$C$2:$C$205,100))</f>
        <v>0.0376242015326094</v>
      </c>
      <c r="V165" s="3" t="n">
        <f aca="false">IF(ISBLANK(F165),"",ABS(F165-SUMIFS($F$2:$F$205,$A$2:$A$205,$A165,$B$2:$B$205,$B165,$C$2:$C$205,100)))</f>
        <v>0.0165878157831685</v>
      </c>
      <c r="W165" s="3" t="n">
        <f aca="false">IF(ISBLANK(G165),"",ABS(G165-SUMIFS($G$2:$G$205,$A$2:$A$205,$A165,$B$2:$B$205,$B165,$C$2:$C$205,100)))</f>
        <v>0.0317763970459737</v>
      </c>
      <c r="X165" s="3" t="n">
        <f aca="false">IF(ISBLANK(H165),"",ABS(H165-SUMIFS($H$2:$H$205,$A$2:$A$205,$A165,$B$2:$B$205,$B165,$C$2:$C$205,100)))</f>
        <v>0.018321276356744</v>
      </c>
      <c r="Y165" s="3" t="n">
        <f aca="false">IF(ISBLANK(I165),"",ABS(I165-SUMIFS($I$2:$I$205,$A$2:$A$205,$A165,$B$2:$B$205,$B165,$C$2:$C$205,100)))</f>
        <v>0.0345079920528093</v>
      </c>
      <c r="Z165" s="3" t="n">
        <f aca="false">IF(ISBLANK(J165),"",ABS(J165-SUMIFS($J$2:$J$205,$A$2:$A$205,$A165,$B$2:$B$205,$B165,$C$2:$C$205,100)))</f>
        <v>0.026872379861473</v>
      </c>
      <c r="AA165" s="3" t="n">
        <f aca="false">IF(ISBLANK(K165),"",ABS(K165-SUMIFS($K$2:$K$205,$A$2:$A$205,$A165,$B$2:$B$205,$B165,$C$2:$C$205,100)))</f>
        <v>0.00146573021906704</v>
      </c>
      <c r="AB165" s="3" t="n">
        <f aca="false">IF(ISBLANK(L165),"",ABS(L165-SUMIFS($L$2:$L$205,$A$2:$A$205,$A165,$B$2:$B$205,$B165,$C$2:$C$205,100)))</f>
        <v>0.0854443395356483</v>
      </c>
      <c r="AC165" s="3" t="n">
        <f aca="false">IF(ISBLANK(M165),"",ABS(M165-SUMIFS($M$2:$M$205,$A$2:$A$205,$A165,$B$2:$B$205,$B165,$C$2:$C$205,100)))</f>
        <v>0.0832733649936408</v>
      </c>
      <c r="AD165" s="3" t="n">
        <f aca="false">IF(ISBLANK(N165),"",ABS(N165-SUMIFS($N$2:$N$205,$A$2:$A$205,$A165,$B$2:$B$205,$B165,$C$2:$C$205,100)))</f>
        <v>0.0782457742723803</v>
      </c>
      <c r="AE165" s="3" t="n">
        <f aca="false">IF(ISBLANK(O165),"",ABS(O165-SUMIFS($O$2:$O$205,$A$2:$A$205,$A165,$B$2:$B$205,$B165,$C$2:$C$205,100)))</f>
        <v>0.0738322440871779</v>
      </c>
      <c r="AF165" s="3" t="n">
        <f aca="false">IF(ISBLANK(P165),"",ABS(P165-SUMIFS($P$2:$P$205,$A$2:$A$205,$A165,$B$2:$B$205,$B165,$C$2:$C$205,100)))</f>
        <v>0.00573799189158786</v>
      </c>
      <c r="AG165" s="3" t="n">
        <f aca="false">IF(ISBLANK(Q165),"",ABS(Q165-SUMIFS($Q$2:$Q$205,$A$2:$A$205,$A165,$B$2:$B$205,$B165,$C$2:$C$205,100)))</f>
        <v>0.00382041802976829</v>
      </c>
      <c r="AH165" s="3" t="n">
        <f aca="false">IF(ISBLANK(R165),"",ABS(R165-SUMIFS($R$2:$R$205,$A$2:$A$205,$A165,$B$2:$B$205,$B165,$C$2:$C$205,100)))</f>
        <v>0.00720986496216669</v>
      </c>
      <c r="AI165" s="3" t="n">
        <f aca="false">IF(ISBLANK(S165),"",ABS(S165-SUMIFS($S$2:$S$205,$A$2:$A$205,$A165,$B$2:$B$205,$B165,$C$2:$C$205,100)))</f>
        <v>0.00926958447970949</v>
      </c>
      <c r="AJ165" s="3" t="n">
        <f aca="false">MAX(V165:AI165)</f>
        <v>0.0854443395356483</v>
      </c>
    </row>
    <row r="166" customFormat="false" ht="15" hidden="false" customHeight="false" outlineLevel="0" collapsed="false">
      <c r="A166" s="2" t="s">
        <v>45</v>
      </c>
      <c r="B166" s="2" t="s">
        <v>37</v>
      </c>
      <c r="C166" s="2" t="n">
        <v>10</v>
      </c>
      <c r="D166" s="3" t="n">
        <v>-17871.1978150685</v>
      </c>
      <c r="E166" s="3" t="n">
        <v>-5.90440435776803</v>
      </c>
      <c r="F166" s="3" t="n">
        <v>-2685.76333634409</v>
      </c>
      <c r="G166" s="3" t="n">
        <v>-448.292218085575</v>
      </c>
      <c r="H166" s="3" t="n">
        <v>-430.934244641667</v>
      </c>
      <c r="I166" s="3" t="n">
        <v>-105.013181929911</v>
      </c>
      <c r="J166" s="3" t="n">
        <v>-96.8354305081915</v>
      </c>
      <c r="K166" s="3" t="n">
        <v>-81.6032581474441</v>
      </c>
      <c r="L166" s="3" t="n">
        <v>-22.2920032853291</v>
      </c>
      <c r="M166" s="3" t="n">
        <v>-18.7582397065546</v>
      </c>
      <c r="N166" s="3" t="n">
        <v>-12.2691902876783</v>
      </c>
      <c r="O166" s="3" t="n">
        <v>-3.58466474663104</v>
      </c>
      <c r="P166" s="3" t="n">
        <v>-3.17019030586486</v>
      </c>
      <c r="Q166" s="3" t="n">
        <v>-2.06003677952567</v>
      </c>
      <c r="R166" s="3" t="n">
        <v>-0.365306017489586</v>
      </c>
      <c r="S166" s="3" t="n">
        <v>-0.213454810604958</v>
      </c>
      <c r="T166" s="3" t="n">
        <f aca="false">ABS(D166-SUMIFS($D$2:$D$205,$A$2:$A$205,$A166,$B$2:$B$205,$B166,$C$2:$C$205,100))</f>
        <v>0.0312281935512146</v>
      </c>
      <c r="U166" s="3" t="n">
        <f aca="false">ABS(E166-SUMIFS($E$2:$E$205,$A$2:$A$205,$A166,$B$2:$B$205,$B166,$C$2:$C$205,100))</f>
        <v>0.0323872278367317</v>
      </c>
      <c r="V166" s="3" t="n">
        <f aca="false">IF(ISBLANK(F166),"",ABS(F166-SUMIFS($F$2:$F$205,$A$2:$A$205,$A166,$B$2:$B$205,$B166,$C$2:$C$205,100)))</f>
        <v>0.0268358019079642</v>
      </c>
      <c r="W166" s="3" t="n">
        <f aca="false">IF(ISBLANK(G166),"",ABS(G166-SUMIFS($G$2:$G$205,$A$2:$A$205,$A166,$B$2:$B$205,$B166,$C$2:$C$205,100)))</f>
        <v>0.0248644513902718</v>
      </c>
      <c r="X166" s="3" t="n">
        <f aca="false">IF(ISBLANK(H166),"",ABS(H166-SUMIFS($H$2:$H$205,$A$2:$A$205,$A166,$B$2:$B$205,$B166,$C$2:$C$205,100)))</f>
        <v>0.0248412163830949</v>
      </c>
      <c r="Y166" s="3" t="n">
        <f aca="false">IF(ISBLANK(I166),"",ABS(I166-SUMIFS($I$2:$I$205,$A$2:$A$205,$A166,$B$2:$B$205,$B166,$C$2:$C$205,100)))</f>
        <v>0.0216886345846063</v>
      </c>
      <c r="Z166" s="3" t="n">
        <f aca="false">IF(ISBLANK(J166),"",ABS(J166-SUMIFS($J$2:$J$205,$A$2:$A$205,$A166,$B$2:$B$205,$B166,$C$2:$C$205,100)))</f>
        <v>0.0212605421040024</v>
      </c>
      <c r="AA166" s="3" t="n">
        <f aca="false">IF(ISBLANK(K166),"",ABS(K166-SUMIFS($K$2:$K$205,$A$2:$A$205,$A166,$B$2:$B$205,$B166,$C$2:$C$205,100)))</f>
        <v>0.0211122169189082</v>
      </c>
      <c r="AB166" s="3" t="n">
        <f aca="false">IF(ISBLANK(L166),"",ABS(L166-SUMIFS($L$2:$L$205,$A$2:$A$205,$A166,$B$2:$B$205,$B166,$C$2:$C$205,100)))</f>
        <v>0.02114044140896</v>
      </c>
      <c r="AC166" s="3" t="n">
        <f aca="false">IF(ISBLANK(M166),"",ABS(M166-SUMIFS($M$2:$M$205,$A$2:$A$205,$A166,$B$2:$B$205,$B166,$C$2:$C$205,100)))</f>
        <v>0.0211059880986504</v>
      </c>
      <c r="AD166" s="3" t="n">
        <f aca="false">IF(ISBLANK(N166),"",ABS(N166-SUMIFS($N$2:$N$205,$A$2:$A$205,$A166,$B$2:$B$205,$B166,$C$2:$C$205,100)))</f>
        <v>0.0211278243555313</v>
      </c>
      <c r="AE166" s="3" t="n">
        <f aca="false">IF(ISBLANK(O166),"",ABS(O166-SUMIFS($O$2:$O$205,$A$2:$A$205,$A166,$B$2:$B$205,$B166,$C$2:$C$205,100)))</f>
        <v>0.0205625750347993</v>
      </c>
      <c r="AF166" s="3" t="n">
        <f aca="false">IF(ISBLANK(P166),"",ABS(P166-SUMIFS($P$2:$P$205,$A$2:$A$205,$A166,$B$2:$B$205,$B166,$C$2:$C$205,100)))</f>
        <v>0.0112809420024989</v>
      </c>
      <c r="AG166" s="3" t="n">
        <f aca="false">IF(ISBLANK(Q166),"",ABS(Q166-SUMIFS($Q$2:$Q$205,$A$2:$A$205,$A166,$B$2:$B$205,$B166,$C$2:$C$205,100)))</f>
        <v>0.0113142206619168</v>
      </c>
      <c r="AH166" s="3" t="n">
        <f aca="false">IF(ISBLANK(R166),"",ABS(R166-SUMIFS($R$2:$R$205,$A$2:$A$205,$A166,$B$2:$B$205,$B166,$C$2:$C$205,100)))</f>
        <v>0.0123477714433609</v>
      </c>
      <c r="AI166" s="3" t="n">
        <f aca="false">IF(ISBLANK(S166),"",ABS(S166-SUMIFS($S$2:$S$205,$A$2:$A$205,$A166,$B$2:$B$205,$B166,$C$2:$C$205,100)))</f>
        <v>0.00959918653854081</v>
      </c>
      <c r="AJ166" s="3" t="n">
        <f aca="false">MAX(V166:AI166)</f>
        <v>0.0268358019079642</v>
      </c>
    </row>
    <row r="167" customFormat="false" ht="15" hidden="false" customHeight="false" outlineLevel="0" collapsed="false">
      <c r="A167" s="2" t="s">
        <v>45</v>
      </c>
      <c r="B167" s="2" t="s">
        <v>37</v>
      </c>
      <c r="C167" s="2" t="n">
        <v>15</v>
      </c>
      <c r="D167" s="3" t="n">
        <v>-17871.1675942463</v>
      </c>
      <c r="E167" s="3" t="n">
        <v>-5.87376908026783</v>
      </c>
      <c r="F167" s="3" t="n">
        <v>-2685.74915343348</v>
      </c>
      <c r="G167" s="3" t="n">
        <v>-448.281425013466</v>
      </c>
      <c r="H167" s="3" t="n">
        <v>-430.923296278964</v>
      </c>
      <c r="I167" s="3" t="n">
        <v>-105.004991212899</v>
      </c>
      <c r="J167" s="3" t="n">
        <v>-96.8276630790911</v>
      </c>
      <c r="K167" s="3" t="n">
        <v>-81.5958358684327</v>
      </c>
      <c r="L167" s="3" t="n">
        <v>-22.2838255715902</v>
      </c>
      <c r="M167" s="3" t="n">
        <v>-18.750057764248</v>
      </c>
      <c r="N167" s="3" t="n">
        <v>-12.26095605562</v>
      </c>
      <c r="O167" s="3" t="n">
        <v>-3.57694161589579</v>
      </c>
      <c r="P167" s="3" t="n">
        <v>-3.17153758428329</v>
      </c>
      <c r="Q167" s="3" t="n">
        <v>-2.06126899099747</v>
      </c>
      <c r="R167" s="3" t="n">
        <v>-0.365466288514184</v>
      </c>
      <c r="S167" s="3" t="n">
        <v>-0.216262911737744</v>
      </c>
      <c r="T167" s="3" t="n">
        <f aca="false">ABS(D167-SUMIFS($D$2:$D$205,$A$2:$A$205,$A167,$B$2:$B$205,$B167,$C$2:$C$205,100))</f>
        <v>0.00100737133107032</v>
      </c>
      <c r="U167" s="3" t="n">
        <f aca="false">ABS(E167-SUMIFS($E$2:$E$205,$A$2:$A$205,$A167,$B$2:$B$205,$B167,$C$2:$C$205,100))</f>
        <v>0.00175195033653708</v>
      </c>
      <c r="V167" s="3" t="n">
        <f aca="false">IF(ISBLANK(F167),"",ABS(F167-SUMIFS($F$2:$F$205,$A$2:$A$205,$A167,$B$2:$B$205,$B167,$C$2:$C$205,100)))</f>
        <v>0.0126528913042421</v>
      </c>
      <c r="W167" s="3" t="n">
        <f aca="false">IF(ISBLANK(G167),"",ABS(G167-SUMIFS($G$2:$G$205,$A$2:$A$205,$A167,$B$2:$B$205,$B167,$C$2:$C$205,100)))</f>
        <v>0.0140713792810061</v>
      </c>
      <c r="X167" s="3" t="n">
        <f aca="false">IF(ISBLANK(H167),"",ABS(H167-SUMIFS($H$2:$H$205,$A$2:$A$205,$A167,$B$2:$B$205,$B167,$C$2:$C$205,100)))</f>
        <v>0.0138928536794651</v>
      </c>
      <c r="Y167" s="3" t="n">
        <f aca="false">IF(ISBLANK(I167),"",ABS(I167-SUMIFS($I$2:$I$205,$A$2:$A$205,$A167,$B$2:$B$205,$B167,$C$2:$C$205,100)))</f>
        <v>0.0134979175731047</v>
      </c>
      <c r="Z167" s="3" t="n">
        <f aca="false">IF(ISBLANK(J167),"",ABS(J167-SUMIFS($J$2:$J$205,$A$2:$A$205,$A167,$B$2:$B$205,$B167,$C$2:$C$205,100)))</f>
        <v>0.0134931130035767</v>
      </c>
      <c r="AA167" s="3" t="n">
        <f aca="false">IF(ISBLANK(K167),"",ABS(K167-SUMIFS($K$2:$K$205,$A$2:$A$205,$A167,$B$2:$B$205,$B167,$C$2:$C$205,100)))</f>
        <v>0.0136899379075004</v>
      </c>
      <c r="AB167" s="3" t="n">
        <f aca="false">IF(ISBLANK(L167),"",ABS(L167-SUMIFS($L$2:$L$205,$A$2:$A$205,$A167,$B$2:$B$205,$B167,$C$2:$C$205,100)))</f>
        <v>0.0129627276700006</v>
      </c>
      <c r="AC167" s="3" t="n">
        <f aca="false">IF(ISBLANK(M167),"",ABS(M167-SUMIFS($M$2:$M$205,$A$2:$A$205,$A167,$B$2:$B$205,$B167,$C$2:$C$205,100)))</f>
        <v>0.0129240457920901</v>
      </c>
      <c r="AD167" s="3" t="n">
        <f aca="false">IF(ISBLANK(N167),"",ABS(N167-SUMIFS($N$2:$N$205,$A$2:$A$205,$A167,$B$2:$B$205,$B167,$C$2:$C$205,100)))</f>
        <v>0.0128935922972513</v>
      </c>
      <c r="AE167" s="3" t="n">
        <f aca="false">IF(ISBLANK(O167),"",ABS(O167-SUMIFS($O$2:$O$205,$A$2:$A$205,$A167,$B$2:$B$205,$B167,$C$2:$C$205,100)))</f>
        <v>0.0128394442995541</v>
      </c>
      <c r="AF167" s="3" t="n">
        <f aca="false">IF(ISBLANK(P167),"",ABS(P167-SUMIFS($P$2:$P$205,$A$2:$A$205,$A167,$B$2:$B$205,$B167,$C$2:$C$205,100)))</f>
        <v>0.0126282204209272</v>
      </c>
      <c r="AG167" s="3" t="n">
        <f aca="false">IF(ISBLANK(Q167),"",ABS(Q167-SUMIFS($Q$2:$Q$205,$A$2:$A$205,$A167,$B$2:$B$205,$B167,$C$2:$C$205,100)))</f>
        <v>0.012546432133723</v>
      </c>
      <c r="AH167" s="3" t="n">
        <f aca="false">IF(ISBLANK(R167),"",ABS(R167-SUMIFS($R$2:$R$205,$A$2:$A$205,$A167,$B$2:$B$205,$B167,$C$2:$C$205,100)))</f>
        <v>0.012508042467959</v>
      </c>
      <c r="AI167" s="3" t="n">
        <f aca="false">IF(ISBLANK(S167),"",ABS(S167-SUMIFS($S$2:$S$205,$A$2:$A$205,$A167,$B$2:$B$205,$B167,$C$2:$C$205,100)))</f>
        <v>0.0124072876713267</v>
      </c>
      <c r="AJ167" s="3" t="n">
        <f aca="false">MAX(V167:AI167)</f>
        <v>0.0140713792810061</v>
      </c>
    </row>
    <row r="168" customFormat="false" ht="15" hidden="false" customHeight="false" outlineLevel="0" collapsed="false">
      <c r="A168" s="2" t="s">
        <v>45</v>
      </c>
      <c r="B168" s="2" t="s">
        <v>37</v>
      </c>
      <c r="C168" s="2" t="n">
        <v>20</v>
      </c>
      <c r="D168" s="3" t="n">
        <v>-17871.1664758337</v>
      </c>
      <c r="E168" s="3" t="n">
        <v>-5.87204839291079</v>
      </c>
      <c r="F168" s="3" t="n">
        <v>-2685.7404929046</v>
      </c>
      <c r="G168" s="3" t="n">
        <v>-448.271302905197</v>
      </c>
      <c r="H168" s="3" t="n">
        <v>-430.913333141241</v>
      </c>
      <c r="I168" s="3" t="n">
        <v>-104.995400409688</v>
      </c>
      <c r="J168" s="3" t="n">
        <v>-96.8180706632855</v>
      </c>
      <c r="K168" s="3" t="n">
        <v>-81.5860523469652</v>
      </c>
      <c r="L168" s="3" t="n">
        <v>-22.2747865806624</v>
      </c>
      <c r="M168" s="3" t="n">
        <v>-18.741055975555</v>
      </c>
      <c r="N168" s="3" t="n">
        <v>-12.2519854532956</v>
      </c>
      <c r="O168" s="3" t="n">
        <v>-3.5680185331006</v>
      </c>
      <c r="P168" s="3" t="n">
        <v>-3.16276986611734</v>
      </c>
      <c r="Q168" s="3" t="n">
        <v>-2.05257429243857</v>
      </c>
      <c r="R168" s="3" t="n">
        <v>-0.356819032375688</v>
      </c>
      <c r="S168" s="3" t="n">
        <v>-0.207684770149709</v>
      </c>
      <c r="T168" s="3" t="n">
        <f aca="false">ABS(D168-SUMIFS($D$2:$D$205,$A$2:$A$205,$A168,$B$2:$B$205,$B168,$C$2:$C$205,100))</f>
        <v>0.000111041237687459</v>
      </c>
      <c r="U168" s="3" t="n">
        <f aca="false">ABS(E168-SUMIFS($E$2:$E$205,$A$2:$A$205,$A168,$B$2:$B$205,$B168,$C$2:$C$205,100))</f>
        <v>3.12629794914088E-005</v>
      </c>
      <c r="V168" s="3" t="n">
        <f aca="false">IF(ISBLANK(F168),"",ABS(F168-SUMIFS($F$2:$F$205,$A$2:$A$205,$A168,$B$2:$B$205,$B168,$C$2:$C$205,100)))</f>
        <v>0.00399236241992185</v>
      </c>
      <c r="W168" s="3" t="n">
        <f aca="false">IF(ISBLANK(G168),"",ABS(G168-SUMIFS($G$2:$G$205,$A$2:$A$205,$A168,$B$2:$B$205,$B168,$C$2:$C$205,100)))</f>
        <v>0.00394927101228859</v>
      </c>
      <c r="X168" s="3" t="n">
        <f aca="false">IF(ISBLANK(H168),"",ABS(H168-SUMIFS($H$2:$H$205,$A$2:$A$205,$A168,$B$2:$B$205,$B168,$C$2:$C$205,100)))</f>
        <v>0.00392971595670133</v>
      </c>
      <c r="Y168" s="3" t="n">
        <f aca="false">IF(ISBLANK(I168),"",ABS(I168-SUMIFS($I$2:$I$205,$A$2:$A$205,$A168,$B$2:$B$205,$B168,$C$2:$C$205,100)))</f>
        <v>0.00390711436190827</v>
      </c>
      <c r="Z168" s="3" t="n">
        <f aca="false">IF(ISBLANK(J168),"",ABS(J168-SUMIFS($J$2:$J$205,$A$2:$A$205,$A168,$B$2:$B$205,$B168,$C$2:$C$205,100)))</f>
        <v>0.00390069719803421</v>
      </c>
      <c r="AA168" s="3" t="n">
        <f aca="false">IF(ISBLANK(K168),"",ABS(K168-SUMIFS($K$2:$K$205,$A$2:$A$205,$A168,$B$2:$B$205,$B168,$C$2:$C$205,100)))</f>
        <v>0.00390641644003154</v>
      </c>
      <c r="AB168" s="3" t="n">
        <f aca="false">IF(ISBLANK(L168),"",ABS(L168-SUMIFS($L$2:$L$205,$A$2:$A$205,$A168,$B$2:$B$205,$B168,$C$2:$C$205,100)))</f>
        <v>0.00392373674224089</v>
      </c>
      <c r="AC168" s="3" t="n">
        <f aca="false">IF(ISBLANK(M168),"",ABS(M168-SUMIFS($M$2:$M$205,$A$2:$A$205,$A168,$B$2:$B$205,$B168,$C$2:$C$205,100)))</f>
        <v>0.00392225709903116</v>
      </c>
      <c r="AD168" s="3" t="n">
        <f aca="false">IF(ISBLANK(N168),"",ABS(N168-SUMIFS($N$2:$N$205,$A$2:$A$205,$A168,$B$2:$B$205,$B168,$C$2:$C$205,100)))</f>
        <v>0.00392298997287099</v>
      </c>
      <c r="AE168" s="3" t="n">
        <f aca="false">IF(ISBLANK(O168),"",ABS(O168-SUMIFS($O$2:$O$205,$A$2:$A$205,$A168,$B$2:$B$205,$B168,$C$2:$C$205,100)))</f>
        <v>0.00391636150436225</v>
      </c>
      <c r="AF168" s="3" t="n">
        <f aca="false">IF(ISBLANK(P168),"",ABS(P168-SUMIFS($P$2:$P$205,$A$2:$A$205,$A168,$B$2:$B$205,$B168,$C$2:$C$205,100)))</f>
        <v>0.00386050225498202</v>
      </c>
      <c r="AG168" s="3" t="n">
        <f aca="false">IF(ISBLANK(Q168),"",ABS(Q168-SUMIFS($Q$2:$Q$205,$A$2:$A$205,$A168,$B$2:$B$205,$B168,$C$2:$C$205,100)))</f>
        <v>0.00385173357481605</v>
      </c>
      <c r="AH168" s="3" t="n">
        <f aca="false">IF(ISBLANK(R168),"",ABS(R168-SUMIFS($R$2:$R$205,$A$2:$A$205,$A168,$B$2:$B$205,$B168,$C$2:$C$205,100)))</f>
        <v>0.0038607863294633</v>
      </c>
      <c r="AI168" s="3" t="n">
        <f aca="false">IF(ISBLANK(S168),"",ABS(S168-SUMIFS($S$2:$S$205,$A$2:$A$205,$A168,$B$2:$B$205,$B168,$C$2:$C$205,100)))</f>
        <v>0.00382914608329168</v>
      </c>
      <c r="AJ168" s="3" t="n">
        <f aca="false">MAX(V168:AI168)</f>
        <v>0.00399236241992185</v>
      </c>
    </row>
    <row r="169" customFormat="false" ht="15" hidden="false" customHeight="false" outlineLevel="0" collapsed="false">
      <c r="A169" s="2" t="s">
        <v>45</v>
      </c>
      <c r="B169" s="2" t="s">
        <v>37</v>
      </c>
      <c r="C169" s="2" t="n">
        <v>30</v>
      </c>
      <c r="D169" s="3" t="n">
        <v>-17871.1665878451</v>
      </c>
      <c r="E169" s="3" t="n">
        <v>-5.87202150958278</v>
      </c>
      <c r="F169" s="3" t="n">
        <v>-2685.73661638421</v>
      </c>
      <c r="G169" s="3" t="n">
        <v>-448.267468939824</v>
      </c>
      <c r="H169" s="3" t="n">
        <v>-430.909518306039</v>
      </c>
      <c r="I169" s="3" t="n">
        <v>-104.991609275719</v>
      </c>
      <c r="J169" s="3" t="n">
        <v>-96.8142858886371</v>
      </c>
      <c r="K169" s="3" t="n">
        <v>-81.5822618361966</v>
      </c>
      <c r="L169" s="3" t="n">
        <v>-22.2709785962129</v>
      </c>
      <c r="M169" s="3" t="n">
        <v>-18.7372494653939</v>
      </c>
      <c r="N169" s="3" t="n">
        <v>-12.2481782242349</v>
      </c>
      <c r="O169" s="3" t="n">
        <v>-3.56421799401943</v>
      </c>
      <c r="P169" s="3" t="n">
        <v>-3.15902488423791</v>
      </c>
      <c r="Q169" s="3" t="n">
        <v>-2.04883804371951</v>
      </c>
      <c r="R169" s="3" t="n">
        <v>-0.353074098038867</v>
      </c>
      <c r="S169" s="3" t="n">
        <v>-0.203969651557332</v>
      </c>
      <c r="T169" s="3" t="n">
        <f aca="false">ABS(D169-SUMIFS($D$2:$D$205,$A$2:$A$205,$A169,$B$2:$B$205,$B169,$C$2:$C$205,100))</f>
        <v>9.70150722423568E-007</v>
      </c>
      <c r="U169" s="3" t="n">
        <f aca="false">ABS(E169-SUMIFS($E$2:$E$205,$A$2:$A$205,$A169,$B$2:$B$205,$B169,$C$2:$C$205,100))</f>
        <v>4.37965148414321E-006</v>
      </c>
      <c r="V169" s="3" t="n">
        <f aca="false">IF(ISBLANK(F169),"",ABS(F169-SUMIFS($F$2:$F$205,$A$2:$A$205,$A169,$B$2:$B$205,$B169,$C$2:$C$205,100)))</f>
        <v>0.000115842035029345</v>
      </c>
      <c r="W169" s="3" t="n">
        <f aca="false">IF(ISBLANK(G169),"",ABS(G169-SUMIFS($G$2:$G$205,$A$2:$A$205,$A169,$B$2:$B$205,$B169,$C$2:$C$205,100)))</f>
        <v>0.00011530563932638</v>
      </c>
      <c r="X169" s="3" t="n">
        <f aca="false">IF(ISBLANK(H169),"",ABS(H169-SUMIFS($H$2:$H$205,$A$2:$A$205,$A169,$B$2:$B$205,$B169,$C$2:$C$205,100)))</f>
        <v>0.000114880754267688</v>
      </c>
      <c r="Y169" s="3" t="n">
        <f aca="false">IF(ISBLANK(I169),"",ABS(I169-SUMIFS($I$2:$I$205,$A$2:$A$205,$A169,$B$2:$B$205,$B169,$C$2:$C$205,100)))</f>
        <v>0.000115980392905612</v>
      </c>
      <c r="Z169" s="3" t="n">
        <f aca="false">IF(ISBLANK(J169),"",ABS(J169-SUMIFS($J$2:$J$205,$A$2:$A$205,$A169,$B$2:$B$205,$B169,$C$2:$C$205,100)))</f>
        <v>0.000115922549582592</v>
      </c>
      <c r="AA169" s="3" t="n">
        <f aca="false">IF(ISBLANK(K169),"",ABS(K169-SUMIFS($K$2:$K$205,$A$2:$A$205,$A169,$B$2:$B$205,$B169,$C$2:$C$205,100)))</f>
        <v>0.00011590567139308</v>
      </c>
      <c r="AB169" s="3" t="n">
        <f aca="false">IF(ISBLANK(L169),"",ABS(L169-SUMIFS($L$2:$L$205,$A$2:$A$205,$A169,$B$2:$B$205,$B169,$C$2:$C$205,100)))</f>
        <v>0.000115752292678906</v>
      </c>
      <c r="AC169" s="3" t="n">
        <f aca="false">IF(ISBLANK(M169),"",ABS(M169-SUMIFS($M$2:$M$205,$A$2:$A$205,$A169,$B$2:$B$205,$B169,$C$2:$C$205,100)))</f>
        <v>0.000115746937961347</v>
      </c>
      <c r="AD169" s="3" t="n">
        <f aca="false">IF(ISBLANK(N169),"",ABS(N169-SUMIFS($N$2:$N$205,$A$2:$A$205,$A169,$B$2:$B$205,$B169,$C$2:$C$205,100)))</f>
        <v>0.000115760912141383</v>
      </c>
      <c r="AE169" s="3" t="n">
        <f aca="false">IF(ISBLANK(O169),"",ABS(O169-SUMIFS($O$2:$O$205,$A$2:$A$205,$A169,$B$2:$B$205,$B169,$C$2:$C$205,100)))</f>
        <v>0.000115822423194079</v>
      </c>
      <c r="AF169" s="3" t="n">
        <f aca="false">IF(ISBLANK(P169),"",ABS(P169-SUMIFS($P$2:$P$205,$A$2:$A$205,$A169,$B$2:$B$205,$B169,$C$2:$C$205,100)))</f>
        <v>0.000115520375548073</v>
      </c>
      <c r="AG169" s="3" t="n">
        <f aca="false">IF(ISBLANK(Q169),"",ABS(Q169-SUMIFS($Q$2:$Q$205,$A$2:$A$205,$A169,$B$2:$B$205,$B169,$C$2:$C$205,100)))</f>
        <v>0.000115484855760073</v>
      </c>
      <c r="AH169" s="3" t="n">
        <f aca="false">IF(ISBLANK(R169),"",ABS(R169-SUMIFS($R$2:$R$205,$A$2:$A$205,$A169,$B$2:$B$205,$B169,$C$2:$C$205,100)))</f>
        <v>0.000115851992642579</v>
      </c>
      <c r="AI169" s="3" t="n">
        <f aca="false">IF(ISBLANK(S169),"",ABS(S169-SUMIFS($S$2:$S$205,$A$2:$A$205,$A169,$B$2:$B$205,$B169,$C$2:$C$205,100)))</f>
        <v>0.000114027490915103</v>
      </c>
      <c r="AJ169" s="3" t="n">
        <f aca="false">MAX(V169:AI169)</f>
        <v>0.000115980392905612</v>
      </c>
    </row>
    <row r="170" customFormat="false" ht="15" hidden="false" customHeight="false" outlineLevel="0" collapsed="false">
      <c r="A170" s="2" t="s">
        <v>45</v>
      </c>
      <c r="B170" s="2" t="s">
        <v>37</v>
      </c>
      <c r="C170" s="2" t="n">
        <v>50</v>
      </c>
      <c r="D170" s="3" t="n">
        <v>-17871.1665868749</v>
      </c>
      <c r="E170" s="3" t="n">
        <v>-5.87201713060123</v>
      </c>
      <c r="F170" s="3" t="n">
        <v>-2685.73650054187</v>
      </c>
      <c r="G170" s="3" t="n">
        <v>-448.267353634026</v>
      </c>
      <c r="H170" s="3" t="n">
        <v>-430.909403425347</v>
      </c>
      <c r="I170" s="3" t="n">
        <v>-104.991493294859</v>
      </c>
      <c r="J170" s="3" t="n">
        <v>-96.814169965555</v>
      </c>
      <c r="K170" s="3" t="n">
        <v>-81.5821459288198</v>
      </c>
      <c r="L170" s="3" t="n">
        <v>-22.2708628434525</v>
      </c>
      <c r="M170" s="3" t="n">
        <v>-18.7371337179234</v>
      </c>
      <c r="N170" s="3" t="n">
        <v>-12.2480624631103</v>
      </c>
      <c r="O170" s="3" t="n">
        <v>-3.56410217113058</v>
      </c>
      <c r="P170" s="3" t="n">
        <v>-3.15890936339463</v>
      </c>
      <c r="Q170" s="3" t="n">
        <v>-2.04872255833126</v>
      </c>
      <c r="R170" s="3" t="n">
        <v>-0.352958245833833</v>
      </c>
      <c r="S170" s="3" t="n">
        <v>-0.20385562328995</v>
      </c>
      <c r="T170" s="3" t="n">
        <f aca="false">ABS(D170-SUMIFS($D$2:$D$205,$A$2:$A$205,$A170,$B$2:$B$205,$B170,$C$2:$C$205,100))</f>
        <v>0</v>
      </c>
      <c r="U170" s="3" t="n">
        <f aca="false">ABS(E170-SUMIFS($E$2:$E$205,$A$2:$A$205,$A170,$B$2:$B$205,$B170,$C$2:$C$205,100))</f>
        <v>6.69940547481929E-010</v>
      </c>
      <c r="V170" s="3" t="n">
        <f aca="false">IF(ISBLANK(F170),"",ABS(F170-SUMIFS($F$2:$F$205,$A$2:$A$205,$A170,$B$2:$B$205,$B170,$C$2:$C$205,100)))</f>
        <v>3.11047188006341E-010</v>
      </c>
      <c r="W170" s="3" t="n">
        <f aca="false">IF(ISBLANK(G170),"",ABS(G170-SUMIFS($G$2:$G$205,$A$2:$A$205,$A170,$B$2:$B$205,$B170,$C$2:$C$205,100)))</f>
        <v>1.58479451783933E-010</v>
      </c>
      <c r="X170" s="3" t="n">
        <f aca="false">IF(ISBLANK(H170),"",ABS(H170-SUMIFS($H$2:$H$205,$A$2:$A$205,$A170,$B$2:$B$205,$B170,$C$2:$C$205,100)))</f>
        <v>6.30961949354969E-011</v>
      </c>
      <c r="Y170" s="3" t="n">
        <f aca="false">IF(ISBLANK(I170),"",ABS(I170-SUMIFS($I$2:$I$205,$A$2:$A$205,$A170,$B$2:$B$205,$B170,$C$2:$C$205,100)))</f>
        <v>4.67693439532013E-010</v>
      </c>
      <c r="Z170" s="3" t="n">
        <f aca="false">IF(ISBLANK(J170),"",ABS(J170-SUMIFS($J$2:$J$205,$A$2:$A$205,$A170,$B$2:$B$205,$B170,$C$2:$C$205,100)))</f>
        <v>5.3250914788805E-010</v>
      </c>
      <c r="AA170" s="3" t="n">
        <f aca="false">IF(ISBLANK(K170),"",ABS(K170-SUMIFS($K$2:$K$205,$A$2:$A$205,$A170,$B$2:$B$205,$B170,$C$2:$C$205,100)))</f>
        <v>1.70538783095253E-009</v>
      </c>
      <c r="AB170" s="3" t="n">
        <f aca="false">IF(ISBLANK(L170),"",ABS(L170-SUMIFS($L$2:$L$205,$A$2:$A$205,$A170,$B$2:$B$205,$B170,$C$2:$C$205,100)))</f>
        <v>4.67711203100407E-010</v>
      </c>
      <c r="AC170" s="3" t="n">
        <f aca="false">IF(ISBLANK(M170),"",ABS(M170-SUMIFS($M$2:$M$205,$A$2:$A$205,$A170,$B$2:$B$205,$B170,$C$2:$C$205,100)))</f>
        <v>5.32498489747013E-010</v>
      </c>
      <c r="AD170" s="3" t="n">
        <f aca="false">IF(ISBLANK(N170),"",ABS(N170-SUMIFS($N$2:$N$205,$A$2:$A$205,$A170,$B$2:$B$205,$B170,$C$2:$C$205,100)))</f>
        <v>2.12398987287088E-010</v>
      </c>
      <c r="AE170" s="3" t="n">
        <f aca="false">IF(ISBLANK(O170),"",ABS(O170-SUMIFS($O$2:$O$205,$A$2:$A$205,$A170,$B$2:$B$205,$B170,$C$2:$C$205,100)))</f>
        <v>4.65660843218529E-010</v>
      </c>
      <c r="AF170" s="3" t="n">
        <f aca="false">IF(ISBLANK(P170),"",ABS(P170-SUMIFS($P$2:$P$205,$A$2:$A$205,$A170,$B$2:$B$205,$B170,$C$2:$C$205,100)))</f>
        <v>4.67729854847221E-010</v>
      </c>
      <c r="AG170" s="3" t="n">
        <f aca="false">IF(ISBLANK(Q170),"",ABS(Q170-SUMIFS($Q$2:$Q$205,$A$2:$A$205,$A170,$B$2:$B$205,$B170,$C$2:$C$205,100)))</f>
        <v>5.32489163873606E-010</v>
      </c>
      <c r="AH170" s="3" t="n">
        <f aca="false">IF(ISBLANK(R170),"",ABS(R170-SUMIFS($R$2:$R$205,$A$2:$A$205,$A170,$B$2:$B$205,$B170,$C$2:$C$205,100)))</f>
        <v>2.12391604303974E-010</v>
      </c>
      <c r="AI170" s="3" t="n">
        <f aca="false">IF(ISBLANK(S170),"",ABS(S170-SUMIFS($S$2:$S$205,$A$2:$A$205,$A170,$B$2:$B$205,$B170,$C$2:$C$205,100)))</f>
        <v>7.76466502205864E-010</v>
      </c>
      <c r="AJ170" s="3" t="n">
        <f aca="false">MAX(V170:AI170)</f>
        <v>1.70538783095253E-009</v>
      </c>
    </row>
    <row r="171" customFormat="false" ht="15" hidden="false" customHeight="false" outlineLevel="0" collapsed="false">
      <c r="A171" s="2" t="s">
        <v>45</v>
      </c>
      <c r="B171" s="2" t="s">
        <v>37</v>
      </c>
      <c r="C171" s="2" t="n">
        <v>80</v>
      </c>
      <c r="D171" s="3" t="n">
        <v>-17871.1665868749</v>
      </c>
      <c r="E171" s="3" t="n">
        <v>-5.8720171299332</v>
      </c>
      <c r="F171" s="3" t="n">
        <v>-2685.73650054209</v>
      </c>
      <c r="G171" s="3" t="n">
        <v>-448.267353634252</v>
      </c>
      <c r="H171" s="3" t="n">
        <v>-430.909403425634</v>
      </c>
      <c r="I171" s="3" t="n">
        <v>-104.991493295239</v>
      </c>
      <c r="J171" s="3" t="n">
        <v>-96.8141699664374</v>
      </c>
      <c r="K171" s="3" t="n">
        <v>-81.5821459302923</v>
      </c>
      <c r="L171" s="3" t="n">
        <v>-22.2708628439878</v>
      </c>
      <c r="M171" s="3" t="n">
        <v>-18.7371337182101</v>
      </c>
      <c r="N171" s="3" t="n">
        <v>-12.2480624630899</v>
      </c>
      <c r="O171" s="3" t="n">
        <v>-3.56410217159624</v>
      </c>
      <c r="P171" s="3" t="n">
        <v>-3.15890936392997</v>
      </c>
      <c r="Q171" s="3" t="n">
        <v>-2.04872255861794</v>
      </c>
      <c r="R171" s="3" t="n">
        <v>-0.352958245813394</v>
      </c>
      <c r="S171" s="3" t="n">
        <v>-0.203855624134029</v>
      </c>
      <c r="T171" s="3" t="n">
        <f aca="false">ABS(D171-SUMIFS($D$2:$D$205,$A$2:$A$205,$A171,$B$2:$B$205,$B171,$C$2:$C$205,100))</f>
        <v>0</v>
      </c>
      <c r="U171" s="3" t="n">
        <f aca="false">ABS(E171-SUMIFS($E$2:$E$205,$A$2:$A$205,$A171,$B$2:$B$205,$B171,$C$2:$C$205,100))</f>
        <v>1.90425453183707E-012</v>
      </c>
      <c r="V171" s="3" t="n">
        <f aca="false">IF(ISBLANK(F171),"",ABS(F171-SUMIFS($F$2:$F$205,$A$2:$A$205,$A171,$B$2:$B$205,$B171,$C$2:$C$205,100)))</f>
        <v>8.68567440193147E-011</v>
      </c>
      <c r="W171" s="3" t="n">
        <f aca="false">IF(ISBLANK(G171),"",ABS(G171-SUMIFS($G$2:$G$205,$A$2:$A$205,$A171,$B$2:$B$205,$B171,$C$2:$C$205,100)))</f>
        <v>6.75868250255007E-011</v>
      </c>
      <c r="X171" s="3" t="n">
        <f aca="false">IF(ISBLANK(H171),"",ABS(H171-SUMIFS($H$2:$H$205,$A$2:$A$205,$A171,$B$2:$B$205,$B171,$C$2:$C$205,100)))</f>
        <v>3.49757556250552E-010</v>
      </c>
      <c r="Y171" s="3" t="n">
        <f aca="false">IF(ISBLANK(I171),"",ABS(I171-SUMIFS($I$2:$I$205,$A$2:$A$205,$A171,$B$2:$B$205,$B171,$C$2:$C$205,100)))</f>
        <v>8.67999006004538E-011</v>
      </c>
      <c r="Z171" s="3" t="n">
        <f aca="false">IF(ISBLANK(J171),"",ABS(J171-SUMIFS($J$2:$J$205,$A$2:$A$205,$A171,$B$2:$B$205,$B171,$C$2:$C$205,100)))</f>
        <v>3.49885453942989E-010</v>
      </c>
      <c r="AA171" s="3" t="n">
        <f aca="false">IF(ISBLANK(K171),"",ABS(K171-SUMIFS($K$2:$K$205,$A$2:$A$205,$A171,$B$2:$B$205,$B171,$C$2:$C$205,100)))</f>
        <v>2.3283064365387E-010</v>
      </c>
      <c r="AB171" s="3" t="n">
        <f aca="false">IF(ISBLANK(L171),"",ABS(L171-SUMIFS($L$2:$L$205,$A$2:$A$205,$A171,$B$2:$B$205,$B171,$C$2:$C$205,100)))</f>
        <v>6.76081413075735E-011</v>
      </c>
      <c r="AC171" s="3" t="n">
        <f aca="false">IF(ISBLANK(M171),"",ABS(M171-SUMIFS($M$2:$M$205,$A$2:$A$205,$A171,$B$2:$B$205,$B171,$C$2:$C$205,100)))</f>
        <v>2.45819364863564E-010</v>
      </c>
      <c r="AD171" s="3" t="n">
        <f aca="false">IF(ISBLANK(N171),"",ABS(N171-SUMIFS($N$2:$N$205,$A$2:$A$205,$A171,$B$2:$B$205,$B171,$C$2:$C$205,100)))</f>
        <v>2.3282886729703E-010</v>
      </c>
      <c r="AE171" s="3" t="n">
        <f aca="false">IF(ISBLANK(O171),"",ABS(O171-SUMIFS($O$2:$O$205,$A$2:$A$205,$A171,$B$2:$B$205,$B171,$C$2:$C$205,100)))</f>
        <v>0</v>
      </c>
      <c r="AF171" s="3" t="n">
        <f aca="false">IF(ISBLANK(P171),"",ABS(P171-SUMIFS($P$2:$P$205,$A$2:$A$205,$A171,$B$2:$B$205,$B171,$C$2:$C$205,100)))</f>
        <v>6.76130262888819E-011</v>
      </c>
      <c r="AG171" s="3" t="n">
        <f aca="false">IF(ISBLANK(Q171),"",ABS(Q171-SUMIFS($Q$2:$Q$205,$A$2:$A$205,$A171,$B$2:$B$205,$B171,$C$2:$C$205,100)))</f>
        <v>2.45810038990157E-010</v>
      </c>
      <c r="AH171" s="3" t="n">
        <f aca="false">IF(ISBLANK(R171),"",ABS(R171-SUMIFS($R$2:$R$205,$A$2:$A$205,$A171,$B$2:$B$205,$B171,$C$2:$C$205,100)))</f>
        <v>2.32830588142718E-010</v>
      </c>
      <c r="AI171" s="3" t="n">
        <f aca="false">IF(ISBLANK(S171),"",ABS(S171-SUMIFS($S$2:$S$205,$A$2:$A$205,$A171,$B$2:$B$205,$B171,$C$2:$C$205,100)))</f>
        <v>6.76116940212523E-011</v>
      </c>
      <c r="AJ171" s="3" t="n">
        <f aca="false">MAX(V171:AI171)</f>
        <v>3.49885453942989E-010</v>
      </c>
    </row>
    <row r="172" customFormat="false" ht="15" hidden="false" customHeight="false" outlineLevel="0" collapsed="false">
      <c r="A172" s="4" t="s">
        <v>45</v>
      </c>
      <c r="B172" s="4" t="s">
        <v>37</v>
      </c>
      <c r="C172" s="4" t="n">
        <v>100</v>
      </c>
      <c r="D172" s="5" t="n">
        <v>-17871.166586875</v>
      </c>
      <c r="E172" s="5" t="n">
        <v>-5.87201712993129</v>
      </c>
      <c r="F172" s="3" t="n">
        <v>-2685.73650054218</v>
      </c>
      <c r="G172" s="3" t="n">
        <v>-448.267353634185</v>
      </c>
      <c r="H172" s="3" t="n">
        <v>-430.909403425284</v>
      </c>
      <c r="I172" s="3" t="n">
        <v>-104.991493295326</v>
      </c>
      <c r="J172" s="3" t="n">
        <v>-96.8141699660875</v>
      </c>
      <c r="K172" s="3" t="n">
        <v>-81.5821459305252</v>
      </c>
      <c r="L172" s="3" t="n">
        <v>-22.2708628439202</v>
      </c>
      <c r="M172" s="3" t="n">
        <v>-18.7371337184559</v>
      </c>
      <c r="N172" s="3" t="n">
        <v>-12.2480624633227</v>
      </c>
      <c r="O172" s="3" t="n">
        <v>-3.56410217159624</v>
      </c>
      <c r="P172" s="3" t="n">
        <v>-3.15890936386236</v>
      </c>
      <c r="Q172" s="3" t="n">
        <v>-2.04872255886375</v>
      </c>
      <c r="R172" s="3" t="n">
        <v>-0.352958246046225</v>
      </c>
      <c r="S172" s="3" t="n">
        <v>-0.203855624066417</v>
      </c>
      <c r="T172" s="3" t="n">
        <f aca="false">ABS(D172-SUMIFS($D$2:$D$205,$A$2:$A$205,$A172,$B$2:$B$205,$B172,$C$2:$C$205,100))</f>
        <v>0</v>
      </c>
      <c r="U172" s="3" t="n">
        <f aca="false">ABS(E172-SUMIFS($E$2:$E$205,$A$2:$A$205,$A172,$B$2:$B$205,$B172,$C$2:$C$205,100))</f>
        <v>0</v>
      </c>
      <c r="V172" s="3" t="n">
        <f aca="false">IF(ISBLANK(F172),"",ABS(F172-SUMIFS($F$2:$F$205,$A$2:$A$205,$A172,$B$2:$B$205,$B172,$C$2:$C$205,100)))</f>
        <v>0</v>
      </c>
      <c r="W172" s="3" t="n">
        <f aca="false">IF(ISBLANK(G172),"",ABS(G172-SUMIFS($G$2:$G$205,$A$2:$A$205,$A172,$B$2:$B$205,$B172,$C$2:$C$205,100)))</f>
        <v>0</v>
      </c>
      <c r="X172" s="3" t="n">
        <f aca="false">IF(ISBLANK(H172),"",ABS(H172-SUMIFS($H$2:$H$205,$A$2:$A$205,$A172,$B$2:$B$205,$B172,$C$2:$C$205,100)))</f>
        <v>0</v>
      </c>
      <c r="Y172" s="3" t="n">
        <f aca="false">IF(ISBLANK(I172),"",ABS(I172-SUMIFS($I$2:$I$205,$A$2:$A$205,$A172,$B$2:$B$205,$B172,$C$2:$C$205,100)))</f>
        <v>0</v>
      </c>
      <c r="Z172" s="3" t="n">
        <f aca="false">IF(ISBLANK(J172),"",ABS(J172-SUMIFS($J$2:$J$205,$A$2:$A$205,$A172,$B$2:$B$205,$B172,$C$2:$C$205,100)))</f>
        <v>0</v>
      </c>
      <c r="AA172" s="3" t="n">
        <f aca="false">IF(ISBLANK(K172),"",ABS(K172-SUMIFS($K$2:$K$205,$A$2:$A$205,$A172,$B$2:$B$205,$B172,$C$2:$C$205,100)))</f>
        <v>0</v>
      </c>
      <c r="AB172" s="3" t="n">
        <f aca="false">IF(ISBLANK(L172),"",ABS(L172-SUMIFS($L$2:$L$205,$A$2:$A$205,$A172,$B$2:$B$205,$B172,$C$2:$C$205,100)))</f>
        <v>0</v>
      </c>
      <c r="AC172" s="3" t="n">
        <f aca="false">IF(ISBLANK(M172),"",ABS(M172-SUMIFS($M$2:$M$205,$A$2:$A$205,$A172,$B$2:$B$205,$B172,$C$2:$C$205,100)))</f>
        <v>0</v>
      </c>
      <c r="AD172" s="3" t="n">
        <f aca="false">IF(ISBLANK(N172),"",ABS(N172-SUMIFS($N$2:$N$205,$A$2:$A$205,$A172,$B$2:$B$205,$B172,$C$2:$C$205,100)))</f>
        <v>0</v>
      </c>
      <c r="AE172" s="3" t="n">
        <f aca="false">IF(ISBLANK(O172),"",ABS(O172-SUMIFS($O$2:$O$205,$A$2:$A$205,$A172,$B$2:$B$205,$B172,$C$2:$C$205,100)))</f>
        <v>0</v>
      </c>
      <c r="AF172" s="3" t="n">
        <f aca="false">IF(ISBLANK(P172),"",ABS(P172-SUMIFS($P$2:$P$205,$A$2:$A$205,$A172,$B$2:$B$205,$B172,$C$2:$C$205,100)))</f>
        <v>0</v>
      </c>
      <c r="AG172" s="3" t="n">
        <f aca="false">IF(ISBLANK(Q172),"",ABS(Q172-SUMIFS($Q$2:$Q$205,$A$2:$A$205,$A172,$B$2:$B$205,$B172,$C$2:$C$205,100)))</f>
        <v>0</v>
      </c>
      <c r="AH172" s="3" t="n">
        <f aca="false">IF(ISBLANK(R172),"",ABS(R172-SUMIFS($R$2:$R$205,$A$2:$A$205,$A172,$B$2:$B$205,$B172,$C$2:$C$205,100)))</f>
        <v>0</v>
      </c>
      <c r="AI172" s="3" t="n">
        <f aca="false">IF(ISBLANK(S172),"",ABS(S172-SUMIFS($S$2:$S$205,$A$2:$A$205,$A172,$B$2:$B$205,$B172,$C$2:$C$205,100)))</f>
        <v>0</v>
      </c>
      <c r="AJ172" s="3" t="n">
        <f aca="false">MAX(V172:AI172)</f>
        <v>0</v>
      </c>
    </row>
    <row r="173" customFormat="false" ht="15" hidden="false" customHeight="false" outlineLevel="0" collapsed="false">
      <c r="A173" s="2" t="s">
        <v>45</v>
      </c>
      <c r="B173" s="2" t="s">
        <v>37</v>
      </c>
      <c r="C173" s="2" t="n">
        <v>150</v>
      </c>
      <c r="D173" s="3" t="n">
        <v>-17871.1665868749</v>
      </c>
      <c r="E173" s="3" t="n">
        <v>-5.87201712992965</v>
      </c>
      <c r="F173" s="3" t="n">
        <v>-2685.73650054209</v>
      </c>
      <c r="G173" s="3" t="n">
        <v>-448.267353634252</v>
      </c>
      <c r="H173" s="3" t="n">
        <v>-430.909403425284</v>
      </c>
      <c r="I173" s="3" t="n">
        <v>-104.991493295239</v>
      </c>
      <c r="J173" s="3" t="n">
        <v>-96.8141699660875</v>
      </c>
      <c r="K173" s="3" t="n">
        <v>-81.5821459305252</v>
      </c>
      <c r="L173" s="3" t="n">
        <v>-22.2708628439878</v>
      </c>
      <c r="M173" s="3" t="n">
        <v>-18.7371337184559</v>
      </c>
      <c r="N173" s="3" t="n">
        <v>-12.2480624633227</v>
      </c>
      <c r="O173" s="3" t="n">
        <v>-3.56410217159624</v>
      </c>
      <c r="P173" s="3" t="n">
        <v>-3.15890936392997</v>
      </c>
      <c r="Q173" s="3" t="n">
        <v>-2.04872255886375</v>
      </c>
      <c r="R173" s="3" t="n">
        <v>-0.352958246046225</v>
      </c>
      <c r="S173" s="3" t="n">
        <v>-0.203855624134029</v>
      </c>
      <c r="T173" s="3" t="n">
        <f aca="false">ABS(D173-SUMIFS($D$2:$D$205,$A$2:$A$205,$A173,$B$2:$B$205,$B173,$C$2:$C$205,100))</f>
        <v>0</v>
      </c>
      <c r="U173" s="3" t="n">
        <f aca="false">ABS(E173-SUMIFS($E$2:$E$205,$A$2:$A$205,$A173,$B$2:$B$205,$B173,$C$2:$C$205,100))</f>
        <v>1.64313007644523E-012</v>
      </c>
      <c r="V173" s="3" t="n">
        <f aca="false">IF(ISBLANK(F173),"",ABS(F173-SUMIFS($F$2:$F$205,$A$2:$A$205,$A173,$B$2:$B$205,$B173,$C$2:$C$205,100)))</f>
        <v>8.68567440193147E-011</v>
      </c>
      <c r="W173" s="3" t="n">
        <f aca="false">IF(ISBLANK(G173),"",ABS(G173-SUMIFS($G$2:$G$205,$A$2:$A$205,$A173,$B$2:$B$205,$B173,$C$2:$C$205,100)))</f>
        <v>6.75868250255007E-011</v>
      </c>
      <c r="X173" s="3" t="n">
        <f aca="false">IF(ISBLANK(H173),"",ABS(H173-SUMIFS($H$2:$H$205,$A$2:$A$205,$A173,$B$2:$B$205,$B173,$C$2:$C$205,100)))</f>
        <v>0</v>
      </c>
      <c r="Y173" s="3" t="n">
        <f aca="false">IF(ISBLANK(I173),"",ABS(I173-SUMIFS($I$2:$I$205,$A$2:$A$205,$A173,$B$2:$B$205,$B173,$C$2:$C$205,100)))</f>
        <v>8.67999006004538E-011</v>
      </c>
      <c r="Z173" s="3" t="n">
        <f aca="false">IF(ISBLANK(J173),"",ABS(J173-SUMIFS($J$2:$J$205,$A$2:$A$205,$A173,$B$2:$B$205,$B173,$C$2:$C$205,100)))</f>
        <v>0</v>
      </c>
      <c r="AA173" s="3" t="n">
        <f aca="false">IF(ISBLANK(K173),"",ABS(K173-SUMIFS($K$2:$K$205,$A$2:$A$205,$A173,$B$2:$B$205,$B173,$C$2:$C$205,100)))</f>
        <v>0</v>
      </c>
      <c r="AB173" s="3" t="n">
        <f aca="false">IF(ISBLANK(L173),"",ABS(L173-SUMIFS($L$2:$L$205,$A$2:$A$205,$A173,$B$2:$B$205,$B173,$C$2:$C$205,100)))</f>
        <v>6.76081413075735E-011</v>
      </c>
      <c r="AC173" s="3" t="n">
        <f aca="false">IF(ISBLANK(M173),"",ABS(M173-SUMIFS($M$2:$M$205,$A$2:$A$205,$A173,$B$2:$B$205,$B173,$C$2:$C$205,100)))</f>
        <v>0</v>
      </c>
      <c r="AD173" s="3" t="n">
        <f aca="false">IF(ISBLANK(N173),"",ABS(N173-SUMIFS($N$2:$N$205,$A$2:$A$205,$A173,$B$2:$B$205,$B173,$C$2:$C$205,100)))</f>
        <v>0</v>
      </c>
      <c r="AE173" s="3" t="n">
        <f aca="false">IF(ISBLANK(O173),"",ABS(O173-SUMIFS($O$2:$O$205,$A$2:$A$205,$A173,$B$2:$B$205,$B173,$C$2:$C$205,100)))</f>
        <v>0</v>
      </c>
      <c r="AF173" s="3" t="n">
        <f aca="false">IF(ISBLANK(P173),"",ABS(P173-SUMIFS($P$2:$P$205,$A$2:$A$205,$A173,$B$2:$B$205,$B173,$C$2:$C$205,100)))</f>
        <v>6.76130262888819E-011</v>
      </c>
      <c r="AG173" s="3" t="n">
        <f aca="false">IF(ISBLANK(Q173),"",ABS(Q173-SUMIFS($Q$2:$Q$205,$A$2:$A$205,$A173,$B$2:$B$205,$B173,$C$2:$C$205,100)))</f>
        <v>0</v>
      </c>
      <c r="AH173" s="3" t="n">
        <f aca="false">IF(ISBLANK(R173),"",ABS(R173-SUMIFS($R$2:$R$205,$A$2:$A$205,$A173,$B$2:$B$205,$B173,$C$2:$C$205,100)))</f>
        <v>0</v>
      </c>
      <c r="AI173" s="3" t="n">
        <f aca="false">IF(ISBLANK(S173),"",ABS(S173-SUMIFS($S$2:$S$205,$A$2:$A$205,$A173,$B$2:$B$205,$B173,$C$2:$C$205,100)))</f>
        <v>6.76116940212523E-011</v>
      </c>
      <c r="AJ173" s="3" t="n">
        <f aca="false">MAX(V173:AI173)</f>
        <v>8.68567440193147E-011</v>
      </c>
    </row>
    <row r="174" customFormat="false" ht="15" hidden="false" customHeight="false" outlineLevel="0" collapsed="false">
      <c r="A174" s="2" t="s">
        <v>45</v>
      </c>
      <c r="B174" s="2" t="s">
        <v>38</v>
      </c>
      <c r="C174" s="2" t="n">
        <v>5</v>
      </c>
      <c r="D174" s="3" t="n">
        <v>-17871.3133503106</v>
      </c>
      <c r="E174" s="3" t="n">
        <v>-6.03501397750231</v>
      </c>
      <c r="F174" s="3" t="n">
        <v>-2685.73515584758</v>
      </c>
      <c r="G174" s="3" t="n">
        <v>-448.214196992465</v>
      </c>
      <c r="H174" s="3" t="n">
        <v>-430.88957265539</v>
      </c>
      <c r="I174" s="3" t="n">
        <v>-104.920798280094</v>
      </c>
      <c r="J174" s="3" t="n">
        <v>-96.7460202876363</v>
      </c>
      <c r="K174" s="3" t="n">
        <v>-81.5021522382967</v>
      </c>
      <c r="L174" s="3" t="n">
        <v>-22.1498419717178</v>
      </c>
      <c r="M174" s="3" t="n">
        <v>-18.619773844718</v>
      </c>
      <c r="N174" s="3" t="n">
        <v>-12.1356578110167</v>
      </c>
      <c r="O174" s="3" t="n">
        <v>-3.46630805683369</v>
      </c>
      <c r="P174" s="3" t="n">
        <v>-3.11065780978366</v>
      </c>
      <c r="Q174" s="3" t="n">
        <v>-1.99533589640548</v>
      </c>
      <c r="R174" s="3" t="n">
        <v>-0.281551556061183</v>
      </c>
      <c r="S174" s="3" t="n">
        <v>-0.136638203786429</v>
      </c>
      <c r="T174" s="3" t="n">
        <f aca="false">ABS(D174-SUMIFS($D$2:$D$205,$A$2:$A$205,$A174,$B$2:$B$205,$B174,$C$2:$C$205,100))</f>
        <v>0.146763435739558</v>
      </c>
      <c r="U174" s="3" t="n">
        <f aca="false">ABS(E174-SUMIFS($E$2:$E$205,$A$2:$A$205,$A174,$B$2:$B$205,$B174,$C$2:$C$205,100))</f>
        <v>0.162996847579451</v>
      </c>
      <c r="V174" s="3" t="n">
        <f aca="false">IF(ISBLANK(F174),"",ABS(F174-SUMIFS($F$2:$F$205,$A$2:$A$205,$A174,$B$2:$B$205,$B174,$C$2:$C$205,100)))</f>
        <v>0.0013446945290525</v>
      </c>
      <c r="W174" s="3" t="n">
        <f aca="false">IF(ISBLANK(G174),"",ABS(G174-SUMIFS($G$2:$G$205,$A$2:$A$205,$A174,$B$2:$B$205,$B174,$C$2:$C$205,100)))</f>
        <v>0.053156641806936</v>
      </c>
      <c r="X174" s="3" t="n">
        <f aca="false">IF(ISBLANK(H174),"",ABS(H174-SUMIFS($H$2:$H$205,$A$2:$A$205,$A174,$B$2:$B$205,$B174,$C$2:$C$205,100)))</f>
        <v>0.0198307698944973</v>
      </c>
      <c r="Y174" s="3" t="n">
        <f aca="false">IF(ISBLANK(I174),"",ABS(I174-SUMIFS($I$2:$I$205,$A$2:$A$205,$A174,$B$2:$B$205,$B174,$C$2:$C$205,100)))</f>
        <v>0.070695015165299</v>
      </c>
      <c r="Z174" s="3" t="n">
        <f aca="false">IF(ISBLANK(J174),"",ABS(J174-SUMIFS($J$2:$J$205,$A$2:$A$205,$A174,$B$2:$B$205,$B174,$C$2:$C$205,100)))</f>
        <v>0.0681496784512206</v>
      </c>
      <c r="AA174" s="3" t="n">
        <f aca="false">IF(ISBLANK(K174),"",ABS(K174-SUMIFS($K$2:$K$205,$A$2:$A$205,$A174,$B$2:$B$205,$B174,$C$2:$C$205,100)))</f>
        <v>0.0799936922284701</v>
      </c>
      <c r="AB174" s="3" t="n">
        <f aca="false">IF(ISBLANK(L174),"",ABS(L174-SUMIFS($L$2:$L$205,$A$2:$A$205,$A174,$B$2:$B$205,$B174,$C$2:$C$205,100)))</f>
        <v>0.121020872289719</v>
      </c>
      <c r="AC174" s="3" t="n">
        <f aca="false">IF(ISBLANK(M174),"",ABS(M174-SUMIFS($M$2:$M$205,$A$2:$A$205,$A174,$B$2:$B$205,$B174,$C$2:$C$205,100)))</f>
        <v>0.11735987373795</v>
      </c>
      <c r="AD174" s="3" t="n">
        <f aca="false">IF(ISBLANK(N174),"",ABS(N174-SUMIFS($N$2:$N$205,$A$2:$A$205,$A174,$B$2:$B$205,$B174,$C$2:$C$205,100)))</f>
        <v>0.11240465230601</v>
      </c>
      <c r="AE174" s="3" t="n">
        <f aca="false">IF(ISBLANK(O174),"",ABS(O174-SUMIFS($O$2:$O$205,$A$2:$A$205,$A174,$B$2:$B$205,$B174,$C$2:$C$205,100)))</f>
        <v>0.097794114762543</v>
      </c>
      <c r="AF174" s="3" t="n">
        <f aca="false">IF(ISBLANK(P174),"",ABS(P174-SUMIFS($P$2:$P$205,$A$2:$A$205,$A174,$B$2:$B$205,$B174,$C$2:$C$205,100)))</f>
        <v>0.0482515541660109</v>
      </c>
      <c r="AG174" s="3" t="n">
        <f aca="false">IF(ISBLANK(Q174),"",ABS(Q174-SUMIFS($Q$2:$Q$205,$A$2:$A$205,$A174,$B$2:$B$205,$B174,$C$2:$C$205,100)))</f>
        <v>0.0533866624582682</v>
      </c>
      <c r="AH174" s="3" t="n">
        <f aca="false">IF(ISBLANK(R174),"",ABS(R174-SUMIFS($R$2:$R$205,$A$2:$A$205,$A174,$B$2:$B$205,$B174,$C$2:$C$205,100)))</f>
        <v>0.0714066899850415</v>
      </c>
      <c r="AI174" s="3" t="n">
        <f aca="false">IF(ISBLANK(S174),"",ABS(S174-SUMIFS($S$2:$S$205,$A$2:$A$205,$A174,$B$2:$B$205,$B174,$C$2:$C$205,100)))</f>
        <v>0.0672174203672989</v>
      </c>
      <c r="AJ174" s="3" t="n">
        <f aca="false">MAX(V174:AI174)</f>
        <v>0.121020872289719</v>
      </c>
    </row>
    <row r="175" customFormat="false" ht="15" hidden="false" customHeight="false" outlineLevel="0" collapsed="false">
      <c r="A175" s="2" t="s">
        <v>45</v>
      </c>
      <c r="B175" s="2" t="s">
        <v>38</v>
      </c>
      <c r="C175" s="2" t="n">
        <v>10</v>
      </c>
      <c r="D175" s="3" t="n">
        <v>-17871.1424232894</v>
      </c>
      <c r="E175" s="3" t="n">
        <v>-5.84876171698253</v>
      </c>
      <c r="F175" s="3" t="n">
        <v>-2685.71173639531</v>
      </c>
      <c r="G175" s="3" t="n">
        <v>-448.227886170858</v>
      </c>
      <c r="H175" s="3" t="n">
        <v>-430.873557626553</v>
      </c>
      <c r="I175" s="3" t="n">
        <v>-104.95570224169</v>
      </c>
      <c r="J175" s="3" t="n">
        <v>-96.777897686489</v>
      </c>
      <c r="K175" s="3" t="n">
        <v>-81.5424837571057</v>
      </c>
      <c r="L175" s="3" t="n">
        <v>-22.2307442839888</v>
      </c>
      <c r="M175" s="3" t="n">
        <v>-18.6973603900824</v>
      </c>
      <c r="N175" s="3" t="n">
        <v>-12.2090624227582</v>
      </c>
      <c r="O175" s="3" t="n">
        <v>-3.52814640989294</v>
      </c>
      <c r="P175" s="3" t="n">
        <v>-3.13642665941618</v>
      </c>
      <c r="Q175" s="3" t="n">
        <v>-2.02524118834051</v>
      </c>
      <c r="R175" s="3" t="n">
        <v>-0.327560702045722</v>
      </c>
      <c r="S175" s="3" t="n">
        <v>-0.18127427876694</v>
      </c>
      <c r="T175" s="3" t="n">
        <f aca="false">ABS(D175-SUMIFS($D$2:$D$205,$A$2:$A$205,$A175,$B$2:$B$205,$B175,$C$2:$C$205,100))</f>
        <v>0.0241635854508786</v>
      </c>
      <c r="U175" s="3" t="n">
        <f aca="false">ABS(E175-SUMIFS($E$2:$E$205,$A$2:$A$205,$A175,$B$2:$B$205,$B175,$C$2:$C$205,100))</f>
        <v>0.0232554129403306</v>
      </c>
      <c r="V175" s="3" t="n">
        <f aca="false">IF(ISBLANK(F175),"",ABS(F175-SUMIFS($F$2:$F$205,$A$2:$A$205,$A175,$B$2:$B$205,$B175,$C$2:$C$205,100)))</f>
        <v>0.0247641467999529</v>
      </c>
      <c r="W175" s="3" t="n">
        <f aca="false">IF(ISBLANK(G175),"",ABS(G175-SUMIFS($G$2:$G$205,$A$2:$A$205,$A175,$B$2:$B$205,$B175,$C$2:$C$205,100)))</f>
        <v>0.0394674634144394</v>
      </c>
      <c r="X175" s="3" t="n">
        <f aca="false">IF(ISBLANK(H175),"",ABS(H175-SUMIFS($H$2:$H$205,$A$2:$A$205,$A175,$B$2:$B$205,$B175,$C$2:$C$205,100)))</f>
        <v>0.035845798730918</v>
      </c>
      <c r="Y175" s="3" t="n">
        <f aca="false">IF(ISBLANK(I175),"",ABS(I175-SUMIFS($I$2:$I$205,$A$2:$A$205,$A175,$B$2:$B$205,$B175,$C$2:$C$205,100)))</f>
        <v>0.0357910535689001</v>
      </c>
      <c r="Z175" s="3" t="n">
        <f aca="false">IF(ISBLANK(J175),"",ABS(J175-SUMIFS($J$2:$J$205,$A$2:$A$205,$A175,$B$2:$B$205,$B175,$C$2:$C$205,100)))</f>
        <v>0.0362722795985491</v>
      </c>
      <c r="AA175" s="3" t="n">
        <f aca="false">IF(ISBLANK(K175),"",ABS(K175-SUMIFS($K$2:$K$205,$A$2:$A$205,$A175,$B$2:$B$205,$B175,$C$2:$C$205,100)))</f>
        <v>0.0396621734194866</v>
      </c>
      <c r="AB175" s="3" t="n">
        <f aca="false">IF(ISBLANK(L175),"",ABS(L175-SUMIFS($L$2:$L$205,$A$2:$A$205,$A175,$B$2:$B$205,$B175,$C$2:$C$205,100)))</f>
        <v>0.0401185600187191</v>
      </c>
      <c r="AC175" s="3" t="n">
        <f aca="false">IF(ISBLANK(M175),"",ABS(M175-SUMIFS($M$2:$M$205,$A$2:$A$205,$A175,$B$2:$B$205,$B175,$C$2:$C$205,100)))</f>
        <v>0.0397733283735384</v>
      </c>
      <c r="AD175" s="3" t="n">
        <f aca="false">IF(ISBLANK(N175),"",ABS(N175-SUMIFS($N$2:$N$205,$A$2:$A$205,$A175,$B$2:$B$205,$B175,$C$2:$C$205,100)))</f>
        <v>0.0390000405645292</v>
      </c>
      <c r="AE175" s="3" t="n">
        <f aca="false">IF(ISBLANK(O175),"",ABS(O175-SUMIFS($O$2:$O$205,$A$2:$A$205,$A175,$B$2:$B$205,$B175,$C$2:$C$205,100)))</f>
        <v>0.035955761703296</v>
      </c>
      <c r="AF175" s="3" t="n">
        <f aca="false">IF(ISBLANK(P175),"",ABS(P175-SUMIFS($P$2:$P$205,$A$2:$A$205,$A175,$B$2:$B$205,$B175,$C$2:$C$205,100)))</f>
        <v>0.0224827045334899</v>
      </c>
      <c r="AG175" s="3" t="n">
        <f aca="false">IF(ISBLANK(Q175),"",ABS(Q175-SUMIFS($Q$2:$Q$205,$A$2:$A$205,$A175,$B$2:$B$205,$B175,$C$2:$C$205,100)))</f>
        <v>0.0234813705232453</v>
      </c>
      <c r="AH175" s="3" t="n">
        <f aca="false">IF(ISBLANK(R175),"",ABS(R175-SUMIFS($R$2:$R$205,$A$2:$A$205,$A175,$B$2:$B$205,$B175,$C$2:$C$205,100)))</f>
        <v>0.0253975440005031</v>
      </c>
      <c r="AI175" s="3" t="n">
        <f aca="false">IF(ISBLANK(S175),"",ABS(S175-SUMIFS($S$2:$S$205,$A$2:$A$205,$A175,$B$2:$B$205,$B175,$C$2:$C$205,100)))</f>
        <v>0.0225813453867882</v>
      </c>
      <c r="AJ175" s="3" t="n">
        <f aca="false">MAX(V175:AI175)</f>
        <v>0.0401185600187191</v>
      </c>
    </row>
    <row r="176" customFormat="false" ht="15" hidden="false" customHeight="false" outlineLevel="0" collapsed="false">
      <c r="A176" s="2" t="s">
        <v>45</v>
      </c>
      <c r="B176" s="2" t="s">
        <v>38</v>
      </c>
      <c r="C176" s="2" t="n">
        <v>15</v>
      </c>
      <c r="D176" s="3" t="n">
        <v>-17871.1761960386</v>
      </c>
      <c r="E176" s="3" t="n">
        <v>-5.88070406213251</v>
      </c>
      <c r="F176" s="3" t="n">
        <v>-2685.72194907623</v>
      </c>
      <c r="G176" s="3" t="n">
        <v>-448.253555203829</v>
      </c>
      <c r="H176" s="3" t="n">
        <v>-430.895749483142</v>
      </c>
      <c r="I176" s="3" t="n">
        <v>-104.977681248754</v>
      </c>
      <c r="J176" s="3" t="n">
        <v>-96.8004555168939</v>
      </c>
      <c r="K176" s="3" t="n">
        <v>-81.5685176942956</v>
      </c>
      <c r="L176" s="3" t="n">
        <v>-22.2567979979602</v>
      </c>
      <c r="M176" s="3" t="n">
        <v>-18.7230453464688</v>
      </c>
      <c r="N176" s="3" t="n">
        <v>-12.2338952629276</v>
      </c>
      <c r="O176" s="3" t="n">
        <v>-3.54988931158462</v>
      </c>
      <c r="P176" s="3" t="n">
        <v>-3.14544774815791</v>
      </c>
      <c r="Q176" s="3" t="n">
        <v>-2.03535481301588</v>
      </c>
      <c r="R176" s="3" t="n">
        <v>-0.339545797633061</v>
      </c>
      <c r="S176" s="3" t="n">
        <v>-0.190443454749657</v>
      </c>
      <c r="T176" s="3" t="n">
        <f aca="false">ABS(D176-SUMIFS($D$2:$D$205,$A$2:$A$205,$A176,$B$2:$B$205,$B176,$C$2:$C$205,100))</f>
        <v>0.00960916370968334</v>
      </c>
      <c r="U176" s="3" t="n">
        <f aca="false">ABS(E176-SUMIFS($E$2:$E$205,$A$2:$A$205,$A176,$B$2:$B$205,$B176,$C$2:$C$205,100))</f>
        <v>0.00868693220965255</v>
      </c>
      <c r="V176" s="3" t="n">
        <f aca="false">IF(ISBLANK(F176),"",ABS(F176-SUMIFS($F$2:$F$205,$A$2:$A$205,$A176,$B$2:$B$205,$B176,$C$2:$C$205,100)))</f>
        <v>0.014551465878867</v>
      </c>
      <c r="W176" s="3" t="n">
        <f aca="false">IF(ISBLANK(G176),"",ABS(G176-SUMIFS($G$2:$G$205,$A$2:$A$205,$A176,$B$2:$B$205,$B176,$C$2:$C$205,100)))</f>
        <v>0.0137984304431029</v>
      </c>
      <c r="X176" s="3" t="n">
        <f aca="false">IF(ISBLANK(H176),"",ABS(H176-SUMIFS($H$2:$H$205,$A$2:$A$205,$A176,$B$2:$B$205,$B176,$C$2:$C$205,100)))</f>
        <v>0.0136539421419002</v>
      </c>
      <c r="Y176" s="3" t="n">
        <f aca="false">IF(ISBLANK(I176),"",ABS(I176-SUMIFS($I$2:$I$205,$A$2:$A$205,$A176,$B$2:$B$205,$B176,$C$2:$C$205,100)))</f>
        <v>0.0138120465047109</v>
      </c>
      <c r="Z176" s="3" t="n">
        <f aca="false">IF(ISBLANK(J176),"",ABS(J176-SUMIFS($J$2:$J$205,$A$2:$A$205,$A176,$B$2:$B$205,$B176,$C$2:$C$205,100)))</f>
        <v>0.0137144491936141</v>
      </c>
      <c r="AA176" s="3" t="n">
        <f aca="false">IF(ISBLANK(K176),"",ABS(K176-SUMIFS($K$2:$K$205,$A$2:$A$205,$A176,$B$2:$B$205,$B176,$C$2:$C$205,100)))</f>
        <v>0.0136282362295503</v>
      </c>
      <c r="AB176" s="3" t="n">
        <f aca="false">IF(ISBLANK(L176),"",ABS(L176-SUMIFS($L$2:$L$205,$A$2:$A$205,$A176,$B$2:$B$205,$B176,$C$2:$C$205,100)))</f>
        <v>0.0140648460473294</v>
      </c>
      <c r="AC176" s="3" t="n">
        <f aca="false">IF(ISBLANK(M176),"",ABS(M176-SUMIFS($M$2:$M$205,$A$2:$A$205,$A176,$B$2:$B$205,$B176,$C$2:$C$205,100)))</f>
        <v>0.0140883719871283</v>
      </c>
      <c r="AD176" s="3" t="n">
        <f aca="false">IF(ISBLANK(N176),"",ABS(N176-SUMIFS($N$2:$N$205,$A$2:$A$205,$A176,$B$2:$B$205,$B176,$C$2:$C$205,100)))</f>
        <v>0.0141672003951889</v>
      </c>
      <c r="AE176" s="3" t="n">
        <f aca="false">IF(ISBLANK(O176),"",ABS(O176-SUMIFS($O$2:$O$205,$A$2:$A$205,$A176,$B$2:$B$205,$B176,$C$2:$C$205,100)))</f>
        <v>0.0142128600116189</v>
      </c>
      <c r="AF176" s="3" t="n">
        <f aca="false">IF(ISBLANK(P176),"",ABS(P176-SUMIFS($P$2:$P$205,$A$2:$A$205,$A176,$B$2:$B$205,$B176,$C$2:$C$205,100)))</f>
        <v>0.013461615791758</v>
      </c>
      <c r="AG176" s="3" t="n">
        <f aca="false">IF(ISBLANK(Q176),"",ABS(Q176-SUMIFS($Q$2:$Q$205,$A$2:$A$205,$A176,$B$2:$B$205,$B176,$C$2:$C$205,100)))</f>
        <v>0.0133677458478711</v>
      </c>
      <c r="AH176" s="3" t="n">
        <f aca="false">IF(ISBLANK(R176),"",ABS(R176-SUMIFS($R$2:$R$205,$A$2:$A$205,$A176,$B$2:$B$205,$B176,$C$2:$C$205,100)))</f>
        <v>0.013412448413164</v>
      </c>
      <c r="AI176" s="3" t="n">
        <f aca="false">IF(ISBLANK(S176),"",ABS(S176-SUMIFS($S$2:$S$205,$A$2:$A$205,$A176,$B$2:$B$205,$B176,$C$2:$C$205,100)))</f>
        <v>0.0134121694040717</v>
      </c>
      <c r="AJ176" s="3" t="n">
        <f aca="false">MAX(V176:AI176)</f>
        <v>0.014551465878867</v>
      </c>
    </row>
    <row r="177" customFormat="false" ht="15" hidden="false" customHeight="false" outlineLevel="0" collapsed="false">
      <c r="A177" s="2" t="s">
        <v>45</v>
      </c>
      <c r="B177" s="2" t="s">
        <v>38</v>
      </c>
      <c r="C177" s="2" t="n">
        <v>20</v>
      </c>
      <c r="D177" s="3" t="n">
        <v>-17871.1667358657</v>
      </c>
      <c r="E177" s="3" t="n">
        <v>-5.87198571793343</v>
      </c>
      <c r="F177" s="3" t="n">
        <v>-2685.73137911319</v>
      </c>
      <c r="G177" s="3" t="n">
        <v>-448.26229075602</v>
      </c>
      <c r="H177" s="3" t="n">
        <v>-430.904312241124</v>
      </c>
      <c r="I177" s="3" t="n">
        <v>-104.986383374214</v>
      </c>
      <c r="J177" s="3" t="n">
        <v>-96.8090735186978</v>
      </c>
      <c r="K177" s="3" t="n">
        <v>-81.5770906231493</v>
      </c>
      <c r="L177" s="3" t="n">
        <v>-22.2656647865505</v>
      </c>
      <c r="M177" s="3" t="n">
        <v>-18.7319357038765</v>
      </c>
      <c r="N177" s="3" t="n">
        <v>-12.2428644766208</v>
      </c>
      <c r="O177" s="3" t="n">
        <v>-3.55890412284663</v>
      </c>
      <c r="P177" s="3" t="n">
        <v>-3.15379910020122</v>
      </c>
      <c r="Q177" s="3" t="n">
        <v>-2.0436238842044</v>
      </c>
      <c r="R177" s="3" t="n">
        <v>-0.347836108913118</v>
      </c>
      <c r="S177" s="3" t="n">
        <v>-0.198806042591679</v>
      </c>
      <c r="T177" s="3" t="n">
        <f aca="false">ABS(D177-SUMIFS($D$2:$D$205,$A$2:$A$205,$A177,$B$2:$B$205,$B177,$C$2:$C$205,100))</f>
        <v>0.000148990820889594</v>
      </c>
      <c r="U177" s="3" t="n">
        <f aca="false">ABS(E177-SUMIFS($E$2:$E$205,$A$2:$A$205,$A177,$B$2:$B$205,$B177,$C$2:$C$205,100))</f>
        <v>3.14119894291309E-005</v>
      </c>
      <c r="V177" s="3" t="n">
        <f aca="false">IF(ISBLANK(F177),"",ABS(F177-SUMIFS($F$2:$F$205,$A$2:$A$205,$A177,$B$2:$B$205,$B177,$C$2:$C$205,100)))</f>
        <v>0.0051214289192103</v>
      </c>
      <c r="W177" s="3" t="n">
        <f aca="false">IF(ISBLANK(G177),"",ABS(G177-SUMIFS($G$2:$G$205,$A$2:$A$205,$A177,$B$2:$B$205,$B177,$C$2:$C$205,100)))</f>
        <v>0.00506287825220397</v>
      </c>
      <c r="X177" s="3" t="n">
        <f aca="false">IF(ISBLANK(H177),"",ABS(H177-SUMIFS($H$2:$H$205,$A$2:$A$205,$A177,$B$2:$B$205,$B177,$C$2:$C$205,100)))</f>
        <v>0.00509118416005094</v>
      </c>
      <c r="Y177" s="3" t="n">
        <f aca="false">IF(ISBLANK(I177),"",ABS(I177-SUMIFS($I$2:$I$205,$A$2:$A$205,$A177,$B$2:$B$205,$B177,$C$2:$C$205,100)))</f>
        <v>0.00510992104550212</v>
      </c>
      <c r="Z177" s="3" t="n">
        <f aca="false">IF(ISBLANK(J177),"",ABS(J177-SUMIFS($J$2:$J$205,$A$2:$A$205,$A177,$B$2:$B$205,$B177,$C$2:$C$205,100)))</f>
        <v>0.00509644738973236</v>
      </c>
      <c r="AA177" s="3" t="n">
        <f aca="false">IF(ISBLANK(K177),"",ABS(K177-SUMIFS($K$2:$K$205,$A$2:$A$205,$A177,$B$2:$B$205,$B177,$C$2:$C$205,100)))</f>
        <v>0.00505530737591187</v>
      </c>
      <c r="AB177" s="3" t="n">
        <f aca="false">IF(ISBLANK(L177),"",ABS(L177-SUMIFS($L$2:$L$205,$A$2:$A$205,$A177,$B$2:$B$205,$B177,$C$2:$C$205,100)))</f>
        <v>0.00519805745702939</v>
      </c>
      <c r="AC177" s="3" t="n">
        <f aca="false">IF(ISBLANK(M177),"",ABS(M177-SUMIFS($M$2:$M$205,$A$2:$A$205,$A177,$B$2:$B$205,$B177,$C$2:$C$205,100)))</f>
        <v>0.00519801457945945</v>
      </c>
      <c r="AD177" s="3" t="n">
        <f aca="false">IF(ISBLANK(N177),"",ABS(N177-SUMIFS($N$2:$N$205,$A$2:$A$205,$A177,$B$2:$B$205,$B177,$C$2:$C$205,100)))</f>
        <v>0.00519798670198846</v>
      </c>
      <c r="AE177" s="3" t="n">
        <f aca="false">IF(ISBLANK(O177),"",ABS(O177-SUMIFS($O$2:$O$205,$A$2:$A$205,$A177,$B$2:$B$205,$B177,$C$2:$C$205,100)))</f>
        <v>0.00519804874960972</v>
      </c>
      <c r="AF177" s="3" t="n">
        <f aca="false">IF(ISBLANK(P177),"",ABS(P177-SUMIFS($P$2:$P$205,$A$2:$A$205,$A177,$B$2:$B$205,$B177,$C$2:$C$205,100)))</f>
        <v>0.00511026374844992</v>
      </c>
      <c r="AG177" s="3" t="n">
        <f aca="false">IF(ISBLANK(Q177),"",ABS(Q177-SUMIFS($Q$2:$Q$205,$A$2:$A$205,$A177,$B$2:$B$205,$B177,$C$2:$C$205,100)))</f>
        <v>0.0050986746593531</v>
      </c>
      <c r="AH177" s="3" t="n">
        <f aca="false">IF(ISBLANK(R177),"",ABS(R177-SUMIFS($R$2:$R$205,$A$2:$A$205,$A177,$B$2:$B$205,$B177,$C$2:$C$205,100)))</f>
        <v>0.005122137133107</v>
      </c>
      <c r="AI177" s="3" t="n">
        <f aca="false">IF(ISBLANK(S177),"",ABS(S177-SUMIFS($S$2:$S$205,$A$2:$A$205,$A177,$B$2:$B$205,$B177,$C$2:$C$205,100)))</f>
        <v>0.0050495815620496</v>
      </c>
      <c r="AJ177" s="3" t="n">
        <f aca="false">MAX(V177:AI177)</f>
        <v>0.00519805745702939</v>
      </c>
    </row>
    <row r="178" customFormat="false" ht="15" hidden="false" customHeight="false" outlineLevel="0" collapsed="false">
      <c r="A178" s="2" t="s">
        <v>45</v>
      </c>
      <c r="B178" s="2" t="s">
        <v>38</v>
      </c>
      <c r="C178" s="2" t="n">
        <v>30</v>
      </c>
      <c r="D178" s="3" t="n">
        <v>-17871.1665871445</v>
      </c>
      <c r="E178" s="3" t="n">
        <v>-5.87201247173752</v>
      </c>
      <c r="F178" s="3" t="n">
        <v>-2685.73634256142</v>
      </c>
      <c r="G178" s="3" t="n">
        <v>-448.267195216207</v>
      </c>
      <c r="H178" s="3" t="n">
        <v>-430.909245059498</v>
      </c>
      <c r="I178" s="3" t="n">
        <v>-104.991336050021</v>
      </c>
      <c r="J178" s="3" t="n">
        <v>-96.8140127590103</v>
      </c>
      <c r="K178" s="3" t="n">
        <v>-81.5819885979522</v>
      </c>
      <c r="L178" s="3" t="n">
        <v>-22.2707065048339</v>
      </c>
      <c r="M178" s="3" t="n">
        <v>-18.7369774542491</v>
      </c>
      <c r="N178" s="3" t="n">
        <v>-12.2479062937065</v>
      </c>
      <c r="O178" s="3" t="n">
        <v>-3.56394612429757</v>
      </c>
      <c r="P178" s="3" t="n">
        <v>-3.15875414355985</v>
      </c>
      <c r="Q178" s="3" t="n">
        <v>-2.04856742109868</v>
      </c>
      <c r="R178" s="3" t="n">
        <v>-0.352802630308088</v>
      </c>
      <c r="S178" s="3" t="n">
        <v>-0.203702391860371</v>
      </c>
      <c r="T178" s="3" t="n">
        <f aca="false">ABS(D178-SUMIFS($D$2:$D$205,$A$2:$A$205,$A178,$B$2:$B$205,$B178,$C$2:$C$205,100))</f>
        <v>2.69650627160445E-007</v>
      </c>
      <c r="U178" s="3" t="n">
        <f aca="false">ABS(E178-SUMIFS($E$2:$E$205,$A$2:$A$205,$A178,$B$2:$B$205,$B178,$C$2:$C$205,100))</f>
        <v>4.65818533612605E-006</v>
      </c>
      <c r="V178" s="3" t="n">
        <f aca="false">IF(ISBLANK(F178),"",ABS(F178-SUMIFS($F$2:$F$205,$A$2:$A$205,$A178,$B$2:$B$205,$B178,$C$2:$C$205,100)))</f>
        <v>0.000157980697167659</v>
      </c>
      <c r="W178" s="3" t="n">
        <f aca="false">IF(ISBLANK(G178),"",ABS(G178-SUMIFS($G$2:$G$205,$A$2:$A$205,$A178,$B$2:$B$205,$B178,$C$2:$C$205,100)))</f>
        <v>0.000158418064586385</v>
      </c>
      <c r="X178" s="3" t="n">
        <f aca="false">IF(ISBLANK(H178),"",ABS(H178-SUMIFS($H$2:$H$205,$A$2:$A$205,$A178,$B$2:$B$205,$B178,$C$2:$C$205,100)))</f>
        <v>0.00015836578654671</v>
      </c>
      <c r="Y178" s="3" t="n">
        <f aca="false">IF(ISBLANK(I178),"",ABS(I178-SUMIFS($I$2:$I$205,$A$2:$A$205,$A178,$B$2:$B$205,$B178,$C$2:$C$205,100)))</f>
        <v>0.000157245237801362</v>
      </c>
      <c r="Z178" s="3" t="n">
        <f aca="false">IF(ISBLANK(J178),"",ABS(J178-SUMIFS($J$2:$J$205,$A$2:$A$205,$A178,$B$2:$B$205,$B178,$C$2:$C$205,100)))</f>
        <v>0.000157207077236876</v>
      </c>
      <c r="AA178" s="3" t="n">
        <f aca="false">IF(ISBLANK(K178),"",ABS(K178-SUMIFS($K$2:$K$205,$A$2:$A$205,$A178,$B$2:$B$205,$B178,$C$2:$C$205,100)))</f>
        <v>0.000157332573010649</v>
      </c>
      <c r="AB178" s="3" t="n">
        <f aca="false">IF(ISBLANK(L178),"",ABS(L178-SUMIFS($L$2:$L$205,$A$2:$A$205,$A178,$B$2:$B$205,$B178,$C$2:$C$205,100)))</f>
        <v>0.000156339173557285</v>
      </c>
      <c r="AC178" s="3" t="n">
        <f aca="false">IF(ISBLANK(M178),"",ABS(M178-SUMIFS($M$2:$M$205,$A$2:$A$205,$A178,$B$2:$B$205,$B178,$C$2:$C$205,100)))</f>
        <v>0.000156264206840007</v>
      </c>
      <c r="AD178" s="3" t="n">
        <f aca="false">IF(ISBLANK(N178),"",ABS(N178-SUMIFS($N$2:$N$205,$A$2:$A$205,$A178,$B$2:$B$205,$B178,$C$2:$C$205,100)))</f>
        <v>0.000156169616218449</v>
      </c>
      <c r="AE178" s="3" t="n">
        <f aca="false">IF(ISBLANK(O178),"",ABS(O178-SUMIFS($O$2:$O$205,$A$2:$A$205,$A178,$B$2:$B$205,$B178,$C$2:$C$205,100)))</f>
        <v>0.00015604729866503</v>
      </c>
      <c r="AF178" s="3" t="n">
        <f aca="false">IF(ISBLANK(P178),"",ABS(P178-SUMIFS($P$2:$P$205,$A$2:$A$205,$A178,$B$2:$B$205,$B178,$C$2:$C$205,100)))</f>
        <v>0.000155220389817856</v>
      </c>
      <c r="AG178" s="3" t="n">
        <f aca="false">IF(ISBLANK(Q178),"",ABS(Q178-SUMIFS($Q$2:$Q$205,$A$2:$A$205,$A178,$B$2:$B$205,$B178,$C$2:$C$205,100)))</f>
        <v>0.000155137765065927</v>
      </c>
      <c r="AH178" s="3" t="n">
        <f aca="false">IF(ISBLANK(R178),"",ABS(R178-SUMIFS($R$2:$R$205,$A$2:$A$205,$A178,$B$2:$B$205,$B178,$C$2:$C$205,100)))</f>
        <v>0.000155615738136827</v>
      </c>
      <c r="AI178" s="3" t="n">
        <f aca="false">IF(ISBLANK(S178),"",ABS(S178-SUMIFS($S$2:$S$205,$A$2:$A$205,$A178,$B$2:$B$205,$B178,$C$2:$C$205,100)))</f>
        <v>0.000153232293357397</v>
      </c>
      <c r="AJ178" s="3" t="n">
        <f aca="false">MAX(V178:AI178)</f>
        <v>0.000158418064586385</v>
      </c>
    </row>
    <row r="179" customFormat="false" ht="15" hidden="false" customHeight="false" outlineLevel="0" collapsed="false">
      <c r="A179" s="2" t="s">
        <v>45</v>
      </c>
      <c r="B179" s="2" t="s">
        <v>38</v>
      </c>
      <c r="C179" s="2" t="n">
        <v>50</v>
      </c>
      <c r="D179" s="3" t="n">
        <v>-17871.166586875</v>
      </c>
      <c r="E179" s="3" t="n">
        <v>-5.87201712888996</v>
      </c>
      <c r="F179" s="3" t="n">
        <v>-2685.73650052746</v>
      </c>
      <c r="G179" s="3" t="n">
        <v>-448.267353619774</v>
      </c>
      <c r="H179" s="3" t="n">
        <v>-430.909403411409</v>
      </c>
      <c r="I179" s="3" t="n">
        <v>-104.991493280762</v>
      </c>
      <c r="J179" s="3" t="n">
        <v>-96.8141699516161</v>
      </c>
      <c r="K179" s="3" t="n">
        <v>-81.5821459149849</v>
      </c>
      <c r="L179" s="3" t="n">
        <v>-22.2708628295101</v>
      </c>
      <c r="M179" s="3" t="n">
        <v>-18.7371337039845</v>
      </c>
      <c r="N179" s="3" t="n">
        <v>-12.2480624492754</v>
      </c>
      <c r="O179" s="3" t="n">
        <v>-3.56410215706255</v>
      </c>
      <c r="P179" s="3" t="n">
        <v>-3.15890934960671</v>
      </c>
      <c r="Q179" s="3" t="n">
        <v>-2.04872254439229</v>
      </c>
      <c r="R179" s="3" t="n">
        <v>-0.352958231998924</v>
      </c>
      <c r="S179" s="3" t="n">
        <v>-0.203855610273876</v>
      </c>
      <c r="T179" s="3" t="n">
        <f aca="false">ABS(D179-SUMIFS($D$2:$D$205,$A$2:$A$205,$A179,$B$2:$B$205,$B179,$C$2:$C$205,100))</f>
        <v>9.09494701772928E-011</v>
      </c>
      <c r="U179" s="3" t="n">
        <f aca="false">ABS(E179-SUMIFS($E$2:$E$205,$A$2:$A$205,$A179,$B$2:$B$205,$B179,$C$2:$C$205,100))</f>
        <v>1.03289643504922E-009</v>
      </c>
      <c r="V179" s="3" t="n">
        <f aca="false">IF(ISBLANK(F179),"",ABS(F179-SUMIFS($F$2:$F$205,$A$2:$A$205,$A179,$B$2:$B$205,$B179,$C$2:$C$205,100)))</f>
        <v>1.46569618664216E-008</v>
      </c>
      <c r="W179" s="3" t="n">
        <f aca="false">IF(ISBLANK(G179),"",ABS(G179-SUMIFS($G$2:$G$205,$A$2:$A$205,$A179,$B$2:$B$205,$B179,$C$2:$C$205,100)))</f>
        <v>1.44980276672868E-008</v>
      </c>
      <c r="X179" s="3" t="n">
        <f aca="false">IF(ISBLANK(H179),"",ABS(H179-SUMIFS($H$2:$H$205,$A$2:$A$205,$A179,$B$2:$B$205,$B179,$C$2:$C$205,100)))</f>
        <v>1.38755353873421E-008</v>
      </c>
      <c r="Y179" s="3" t="n">
        <f aca="false">IF(ISBLANK(I179),"",ABS(I179-SUMIFS($I$2:$I$205,$A$2:$A$205,$A179,$B$2:$B$205,$B179,$C$2:$C$205,100)))</f>
        <v>1.44975018656623E-008</v>
      </c>
      <c r="Z179" s="3" t="n">
        <f aca="false">IF(ISBLANK(J179),"",ABS(J179-SUMIFS($J$2:$J$205,$A$2:$A$205,$A179,$B$2:$B$205,$B179,$C$2:$C$205,100)))</f>
        <v>1.44713823146958E-008</v>
      </c>
      <c r="AA179" s="3" t="n">
        <f aca="false">IF(ISBLANK(K179),"",ABS(K179-SUMIFS($K$2:$K$205,$A$2:$A$205,$A179,$B$2:$B$205,$B179,$C$2:$C$205,100)))</f>
        <v>1.55402233303903E-008</v>
      </c>
      <c r="AB179" s="3" t="n">
        <f aca="false">IF(ISBLANK(L179),"",ABS(L179-SUMIFS($L$2:$L$205,$A$2:$A$205,$A179,$B$2:$B$205,$B179,$C$2:$C$205,100)))</f>
        <v>1.44973597571152E-008</v>
      </c>
      <c r="AC179" s="3" t="n">
        <f aca="false">IF(ISBLANK(M179),"",ABS(M179-SUMIFS($M$2:$M$205,$A$2:$A$205,$A179,$B$2:$B$205,$B179,$C$2:$C$205,100)))</f>
        <v>1.44714604743967E-008</v>
      </c>
      <c r="AD179" s="3" t="n">
        <f aca="false">IF(ISBLANK(N179),"",ABS(N179-SUMIFS($N$2:$N$205,$A$2:$A$205,$A179,$B$2:$B$205,$B179,$C$2:$C$205,100)))</f>
        <v>1.40472984355711E-008</v>
      </c>
      <c r="AE179" s="3" t="n">
        <f aca="false">IF(ISBLANK(O179),"",ABS(O179-SUMIFS($O$2:$O$205,$A$2:$A$205,$A179,$B$2:$B$205,$B179,$C$2:$C$205,100)))</f>
        <v>1.45336889190162E-008</v>
      </c>
      <c r="AF179" s="3" t="n">
        <f aca="false">IF(ISBLANK(P179),"",ABS(P179-SUMIFS($P$2:$P$205,$A$2:$A$205,$A179,$B$2:$B$205,$B179,$C$2:$C$205,100)))</f>
        <v>1.43429548238316E-008</v>
      </c>
      <c r="AG179" s="3" t="n">
        <f aca="false">IF(ISBLANK(Q179),"",ABS(Q179-SUMIFS($Q$2:$Q$205,$A$2:$A$205,$A179,$B$2:$B$205,$B179,$C$2:$C$205,100)))</f>
        <v>1.44714649152888E-008</v>
      </c>
      <c r="AH179" s="3" t="n">
        <f aca="false">IF(ISBLANK(R179),"",ABS(R179-SUMIFS($R$2:$R$205,$A$2:$A$205,$A179,$B$2:$B$205,$B179,$C$2:$C$205,100)))</f>
        <v>1.40473011001063E-008</v>
      </c>
      <c r="AI179" s="3" t="n">
        <f aca="false">IF(ISBLANK(S179),"",ABS(S179-SUMIFS($S$2:$S$205,$A$2:$A$205,$A179,$B$2:$B$205,$B179,$C$2:$C$205,100)))</f>
        <v>1.38798526005957E-008</v>
      </c>
      <c r="AJ179" s="3" t="n">
        <f aca="false">MAX(V179:AI179)</f>
        <v>1.55402233303903E-008</v>
      </c>
    </row>
    <row r="180" customFormat="false" ht="15" hidden="false" customHeight="false" outlineLevel="0" collapsed="false">
      <c r="A180" s="2" t="s">
        <v>45</v>
      </c>
      <c r="B180" s="2" t="s">
        <v>38</v>
      </c>
      <c r="C180" s="2" t="n">
        <v>80</v>
      </c>
      <c r="D180" s="3" t="n">
        <v>-17871.166586875</v>
      </c>
      <c r="E180" s="3" t="n">
        <v>-5.87201712991874</v>
      </c>
      <c r="F180" s="3" t="n">
        <v>-2685.73650054208</v>
      </c>
      <c r="G180" s="3" t="n">
        <v>-448.26735363424</v>
      </c>
      <c r="H180" s="3" t="n">
        <v>-430.909403425284</v>
      </c>
      <c r="I180" s="3" t="n">
        <v>-104.991493295227</v>
      </c>
      <c r="J180" s="3" t="n">
        <v>-96.8141699660875</v>
      </c>
      <c r="K180" s="3" t="n">
        <v>-81.5821459300595</v>
      </c>
      <c r="L180" s="3" t="n">
        <v>-22.2708628439758</v>
      </c>
      <c r="M180" s="3" t="n">
        <v>-18.7371337184559</v>
      </c>
      <c r="N180" s="3" t="n">
        <v>-12.24806246435</v>
      </c>
      <c r="O180" s="3" t="n">
        <v>-3.56410217159624</v>
      </c>
      <c r="P180" s="3" t="n">
        <v>-3.15890936391799</v>
      </c>
      <c r="Q180" s="3" t="n">
        <v>-2.04872255886375</v>
      </c>
      <c r="R180" s="3" t="n">
        <v>-0.352958245580563</v>
      </c>
      <c r="S180" s="3" t="n">
        <v>-0.203855624122051</v>
      </c>
      <c r="T180" s="3" t="n">
        <f aca="false">ABS(D180-SUMIFS($D$2:$D$205,$A$2:$A$205,$A180,$B$2:$B$205,$B180,$C$2:$C$205,100))</f>
        <v>6.91215973347426E-011</v>
      </c>
      <c r="U180" s="3" t="n">
        <f aca="false">ABS(E180-SUMIFS($E$2:$E$205,$A$2:$A$205,$A180,$B$2:$B$205,$B180,$C$2:$C$205,100))</f>
        <v>4.11581879689038E-012</v>
      </c>
      <c r="V180" s="3" t="n">
        <f aca="false">IF(ISBLANK(F180),"",ABS(F180-SUMIFS($F$2:$F$205,$A$2:$A$205,$A180,$B$2:$B$205,$B180,$C$2:$C$205,100)))</f>
        <v>3.09228198602796E-011</v>
      </c>
      <c r="W180" s="3" t="n">
        <f aca="false">IF(ISBLANK(G180),"",ABS(G180-SUMIFS($G$2:$G$205,$A$2:$A$205,$A180,$B$2:$B$205,$B180,$C$2:$C$205,100)))</f>
        <v>3.17186277243309E-011</v>
      </c>
      <c r="X180" s="3" t="n">
        <f aca="false">IF(ISBLANK(H180),"",ABS(H180-SUMIFS($H$2:$H$205,$A$2:$A$205,$A180,$B$2:$B$205,$B180,$C$2:$C$205,100)))</f>
        <v>0</v>
      </c>
      <c r="Y180" s="3" t="n">
        <f aca="false">IF(ISBLANK(I180),"",ABS(I180-SUMIFS($I$2:$I$205,$A$2:$A$205,$A180,$B$2:$B$205,$B180,$C$2:$C$205,100)))</f>
        <v>3.17044168696157E-011</v>
      </c>
      <c r="Z180" s="3" t="n">
        <f aca="false">IF(ISBLANK(J180),"",ABS(J180-SUMIFS($J$2:$J$205,$A$2:$A$205,$A180,$B$2:$B$205,$B180,$C$2:$C$205,100)))</f>
        <v>0</v>
      </c>
      <c r="AA180" s="3" t="n">
        <f aca="false">IF(ISBLANK(K180),"",ABS(K180-SUMIFS($K$2:$K$205,$A$2:$A$205,$A180,$B$2:$B$205,$B180,$C$2:$C$205,100)))</f>
        <v>4.65661287307739E-010</v>
      </c>
      <c r="AB180" s="3" t="n">
        <f aca="false">IF(ISBLANK(L180),"",ABS(L180-SUMIFS($L$2:$L$205,$A$2:$A$205,$A180,$B$2:$B$205,$B180,$C$2:$C$205,100)))</f>
        <v>3.16795478738641E-011</v>
      </c>
      <c r="AC180" s="3" t="n">
        <f aca="false">IF(ISBLANK(M180),"",ABS(M180-SUMIFS($M$2:$M$205,$A$2:$A$205,$A180,$B$2:$B$205,$B180,$C$2:$C$205,100)))</f>
        <v>0</v>
      </c>
      <c r="AD180" s="3" t="n">
        <f aca="false">IF(ISBLANK(N180),"",ABS(N180-SUMIFS($N$2:$N$205,$A$2:$A$205,$A180,$B$2:$B$205,$B180,$C$2:$C$205,100)))</f>
        <v>1.02730091100511E-009</v>
      </c>
      <c r="AE180" s="3" t="n">
        <f aca="false">IF(ISBLANK(O180),"",ABS(O180-SUMIFS($O$2:$O$205,$A$2:$A$205,$A180,$B$2:$B$205,$B180,$C$2:$C$205,100)))</f>
        <v>0</v>
      </c>
      <c r="AF180" s="3" t="n">
        <f aca="false">IF(ISBLANK(P180),"",ABS(P180-SUMIFS($P$2:$P$205,$A$2:$A$205,$A180,$B$2:$B$205,$B180,$C$2:$C$205,100)))</f>
        <v>3.16759951601853E-011</v>
      </c>
      <c r="AG180" s="3" t="n">
        <f aca="false">IF(ISBLANK(Q180),"",ABS(Q180-SUMIFS($Q$2:$Q$205,$A$2:$A$205,$A180,$B$2:$B$205,$B180,$C$2:$C$205,100)))</f>
        <v>0</v>
      </c>
      <c r="AH180" s="3" t="n">
        <f aca="false">IF(ISBLANK(R180),"",ABS(R180-SUMIFS($R$2:$R$205,$A$2:$A$205,$A180,$B$2:$B$205,$B180,$C$2:$C$205,100)))</f>
        <v>4.65661287307739E-010</v>
      </c>
      <c r="AI180" s="3" t="n">
        <f aca="false">IF(ISBLANK(S180),"",ABS(S180-SUMIFS($S$2:$S$205,$A$2:$A$205,$A180,$B$2:$B$205,$B180,$C$2:$C$205,100)))</f>
        <v>3.16777992726003E-011</v>
      </c>
      <c r="AJ180" s="3" t="n">
        <f aca="false">MAX(V180:AI180)</f>
        <v>1.02730091100511E-009</v>
      </c>
    </row>
    <row r="181" customFormat="false" ht="15" hidden="false" customHeight="false" outlineLevel="0" collapsed="false">
      <c r="A181" s="4" t="s">
        <v>45</v>
      </c>
      <c r="B181" s="4" t="s">
        <v>38</v>
      </c>
      <c r="C181" s="4" t="n">
        <v>100</v>
      </c>
      <c r="D181" s="5" t="n">
        <v>-17871.1665868749</v>
      </c>
      <c r="E181" s="5" t="n">
        <v>-5.87201712992286</v>
      </c>
      <c r="F181" s="3" t="n">
        <v>-2685.73650054211</v>
      </c>
      <c r="G181" s="3" t="n">
        <v>-448.267353634272</v>
      </c>
      <c r="H181" s="3" t="n">
        <v>-430.909403425284</v>
      </c>
      <c r="I181" s="3" t="n">
        <v>-104.991493295259</v>
      </c>
      <c r="J181" s="3" t="n">
        <v>-96.8141699660875</v>
      </c>
      <c r="K181" s="3" t="n">
        <v>-81.5821459305252</v>
      </c>
      <c r="L181" s="3" t="n">
        <v>-22.2708628440075</v>
      </c>
      <c r="M181" s="3" t="n">
        <v>-18.7371337184559</v>
      </c>
      <c r="N181" s="3" t="n">
        <v>-12.2480624633227</v>
      </c>
      <c r="O181" s="3" t="n">
        <v>-3.56410217159624</v>
      </c>
      <c r="P181" s="3" t="n">
        <v>-3.15890936394967</v>
      </c>
      <c r="Q181" s="3" t="n">
        <v>-2.04872255886375</v>
      </c>
      <c r="R181" s="3" t="n">
        <v>-0.352958246046225</v>
      </c>
      <c r="S181" s="3" t="n">
        <v>-0.203855624153728</v>
      </c>
      <c r="T181" s="3" t="n">
        <f aca="false">ABS(D181-SUMIFS($D$2:$D$205,$A$2:$A$205,$A181,$B$2:$B$205,$B181,$C$2:$C$205,100))</f>
        <v>0</v>
      </c>
      <c r="U181" s="3" t="n">
        <f aca="false">ABS(E181-SUMIFS($E$2:$E$205,$A$2:$A$205,$A181,$B$2:$B$205,$B181,$C$2:$C$205,100))</f>
        <v>0</v>
      </c>
      <c r="V181" s="3" t="n">
        <f aca="false">IF(ISBLANK(F181),"",ABS(F181-SUMIFS($F$2:$F$205,$A$2:$A$205,$A181,$B$2:$B$205,$B181,$C$2:$C$205,100)))</f>
        <v>0</v>
      </c>
      <c r="W181" s="3" t="n">
        <f aca="false">IF(ISBLANK(G181),"",ABS(G181-SUMIFS($G$2:$G$205,$A$2:$A$205,$A181,$B$2:$B$205,$B181,$C$2:$C$205,100)))</f>
        <v>0</v>
      </c>
      <c r="X181" s="3" t="n">
        <f aca="false">IF(ISBLANK(H181),"",ABS(H181-SUMIFS($H$2:$H$205,$A$2:$A$205,$A181,$B$2:$B$205,$B181,$C$2:$C$205,100)))</f>
        <v>0</v>
      </c>
      <c r="Y181" s="3" t="n">
        <f aca="false">IF(ISBLANK(I181),"",ABS(I181-SUMIFS($I$2:$I$205,$A$2:$A$205,$A181,$B$2:$B$205,$B181,$C$2:$C$205,100)))</f>
        <v>0</v>
      </c>
      <c r="Z181" s="3" t="n">
        <f aca="false">IF(ISBLANK(J181),"",ABS(J181-SUMIFS($J$2:$J$205,$A$2:$A$205,$A181,$B$2:$B$205,$B181,$C$2:$C$205,100)))</f>
        <v>0</v>
      </c>
      <c r="AA181" s="3" t="n">
        <f aca="false">IF(ISBLANK(K181),"",ABS(K181-SUMIFS($K$2:$K$205,$A$2:$A$205,$A181,$B$2:$B$205,$B181,$C$2:$C$205,100)))</f>
        <v>0</v>
      </c>
      <c r="AB181" s="3" t="n">
        <f aca="false">IF(ISBLANK(L181),"",ABS(L181-SUMIFS($L$2:$L$205,$A$2:$A$205,$A181,$B$2:$B$205,$B181,$C$2:$C$205,100)))</f>
        <v>0</v>
      </c>
      <c r="AC181" s="3" t="n">
        <f aca="false">IF(ISBLANK(M181),"",ABS(M181-SUMIFS($M$2:$M$205,$A$2:$A$205,$A181,$B$2:$B$205,$B181,$C$2:$C$205,100)))</f>
        <v>0</v>
      </c>
      <c r="AD181" s="3" t="n">
        <f aca="false">IF(ISBLANK(N181),"",ABS(N181-SUMIFS($N$2:$N$205,$A$2:$A$205,$A181,$B$2:$B$205,$B181,$C$2:$C$205,100)))</f>
        <v>0</v>
      </c>
      <c r="AE181" s="3" t="n">
        <f aca="false">IF(ISBLANK(O181),"",ABS(O181-SUMIFS($O$2:$O$205,$A$2:$A$205,$A181,$B$2:$B$205,$B181,$C$2:$C$205,100)))</f>
        <v>0</v>
      </c>
      <c r="AF181" s="3" t="n">
        <f aca="false">IF(ISBLANK(P181),"",ABS(P181-SUMIFS($P$2:$P$205,$A$2:$A$205,$A181,$B$2:$B$205,$B181,$C$2:$C$205,100)))</f>
        <v>0</v>
      </c>
      <c r="AG181" s="3" t="n">
        <f aca="false">IF(ISBLANK(Q181),"",ABS(Q181-SUMIFS($Q$2:$Q$205,$A$2:$A$205,$A181,$B$2:$B$205,$B181,$C$2:$C$205,100)))</f>
        <v>0</v>
      </c>
      <c r="AH181" s="3" t="n">
        <f aca="false">IF(ISBLANK(R181),"",ABS(R181-SUMIFS($R$2:$R$205,$A$2:$A$205,$A181,$B$2:$B$205,$B181,$C$2:$C$205,100)))</f>
        <v>0</v>
      </c>
      <c r="AI181" s="3" t="n">
        <f aca="false">IF(ISBLANK(S181),"",ABS(S181-SUMIFS($S$2:$S$205,$A$2:$A$205,$A181,$B$2:$B$205,$B181,$C$2:$C$205,100)))</f>
        <v>0</v>
      </c>
      <c r="AJ181" s="3" t="n">
        <f aca="false">MAX(V181:AI181)</f>
        <v>0</v>
      </c>
    </row>
    <row r="182" customFormat="false" ht="15" hidden="false" customHeight="false" outlineLevel="0" collapsed="false">
      <c r="A182" s="2" t="s">
        <v>45</v>
      </c>
      <c r="B182" s="2" t="s">
        <v>39</v>
      </c>
      <c r="C182" s="2" t="n">
        <v>5</v>
      </c>
      <c r="D182" s="3" t="n">
        <v>-17869.230699005</v>
      </c>
      <c r="E182" s="3" t="n">
        <v>-3.94322723472748</v>
      </c>
      <c r="F182" s="3" t="n">
        <v>-2685.77398100052</v>
      </c>
      <c r="G182" s="3" t="n">
        <v>-448.271708182506</v>
      </c>
      <c r="H182" s="3" t="n">
        <v>-430.948979503448</v>
      </c>
      <c r="I182" s="3" t="n">
        <v>-104.949398424748</v>
      </c>
      <c r="J182" s="3" t="n">
        <v>-96.777629009789</v>
      </c>
      <c r="K182" s="3" t="n">
        <v>-81.5413663958244</v>
      </c>
      <c r="L182" s="3" t="n">
        <v>-22.2274383011944</v>
      </c>
      <c r="M182" s="3" t="n">
        <v>-18.6930186091074</v>
      </c>
      <c r="N182" s="3" t="n">
        <v>-12.1996911172217</v>
      </c>
      <c r="O182" s="3" t="n">
        <v>-3.51342589076359</v>
      </c>
      <c r="P182" s="3" t="n">
        <v>-3.1581617544479</v>
      </c>
      <c r="Q182" s="3" t="n">
        <v>-2.0529367170074</v>
      </c>
      <c r="R182" s="3" t="n">
        <v>-0.367729699174474</v>
      </c>
      <c r="S182" s="3" t="n">
        <v>-0.18717277018933</v>
      </c>
      <c r="T182" s="3" t="n">
        <f aca="false">ABS(D182-SUMIFS($D$2:$D$205,$A$2:$A$205,$A182,$B$2:$B$205,$B182,$C$2:$C$205,100))</f>
        <v>1.93588786993132</v>
      </c>
      <c r="U182" s="3" t="n">
        <f aca="false">ABS(E182-SUMIFS($E$2:$E$205,$A$2:$A$205,$A182,$B$2:$B$205,$B182,$C$2:$C$205,100))</f>
        <v>1.92878989520124</v>
      </c>
      <c r="V182" s="3" t="n">
        <f aca="false">IF(ISBLANK(F182),"",ABS(F182-SUMIFS($F$2:$F$205,$A$2:$A$205,$A182,$B$2:$B$205,$B182,$C$2:$C$205,100)))</f>
        <v>0.0374804583379955</v>
      </c>
      <c r="W182" s="3" t="n">
        <f aca="false">IF(ISBLANK(G182),"",ABS(G182-SUMIFS($G$2:$G$205,$A$2:$A$205,$A182,$B$2:$B$205,$B182,$C$2:$C$205,100)))</f>
        <v>0.00435454816710035</v>
      </c>
      <c r="X182" s="3" t="n">
        <f aca="false">IF(ISBLANK(H182),"",ABS(H182-SUMIFS($H$2:$H$205,$A$2:$A$205,$A182,$B$2:$B$205,$B182,$C$2:$C$205,100)))</f>
        <v>0.0395760781639751</v>
      </c>
      <c r="Y182" s="3" t="n">
        <f aca="false">IF(ISBLANK(I182),"",ABS(I182-SUMIFS($I$2:$I$205,$A$2:$A$205,$A182,$B$2:$B$205,$B182,$C$2:$C$205,100)))</f>
        <v>0.0420948705783957</v>
      </c>
      <c r="Z182" s="3" t="n">
        <f aca="false">IF(ISBLANK(J182),"",ABS(J182-SUMIFS($J$2:$J$205,$A$2:$A$205,$A182,$B$2:$B$205,$B182,$C$2:$C$205,100)))</f>
        <v>0.0365409562984809</v>
      </c>
      <c r="AA182" s="3" t="n">
        <f aca="false">IF(ISBLANK(K182),"",ABS(K182-SUMIFS($K$2:$K$205,$A$2:$A$205,$A182,$B$2:$B$205,$B182,$C$2:$C$205,100)))</f>
        <v>0.0407795347008033</v>
      </c>
      <c r="AB182" s="3" t="n">
        <f aca="false">IF(ISBLANK(L182),"",ABS(L182-SUMIFS($L$2:$L$205,$A$2:$A$205,$A182,$B$2:$B$205,$B182,$C$2:$C$205,100)))</f>
        <v>0.0434245427258091</v>
      </c>
      <c r="AC182" s="3" t="n">
        <f aca="false">IF(ISBLANK(M182),"",ABS(M182-SUMIFS($M$2:$M$205,$A$2:$A$205,$A182,$B$2:$B$205,$B182,$C$2:$C$205,100)))</f>
        <v>0.0441151093485708</v>
      </c>
      <c r="AD182" s="3" t="n">
        <f aca="false">IF(ISBLANK(N182),"",ABS(N182-SUMIFS($N$2:$N$205,$A$2:$A$205,$A182,$B$2:$B$205,$B182,$C$2:$C$205,100)))</f>
        <v>0.0483713461009998</v>
      </c>
      <c r="AE182" s="3" t="n">
        <f aca="false">IF(ISBLANK(O182),"",ABS(O182-SUMIFS($O$2:$O$205,$A$2:$A$205,$A182,$B$2:$B$205,$B182,$C$2:$C$205,100)))</f>
        <v>0.0506762808326511</v>
      </c>
      <c r="AF182" s="3" t="n">
        <f aca="false">IF(ISBLANK(P182),"",ABS(P182-SUMIFS($P$2:$P$205,$A$2:$A$205,$A182,$B$2:$B$205,$B182,$C$2:$C$205,100)))</f>
        <v>0.00074760941445895</v>
      </c>
      <c r="AG182" s="3" t="n">
        <f aca="false">IF(ISBLANK(Q182),"",ABS(Q182-SUMIFS($Q$2:$Q$205,$A$2:$A$205,$A182,$B$2:$B$205,$B182,$C$2:$C$205,100)))</f>
        <v>0.00421415814364812</v>
      </c>
      <c r="AH182" s="3" t="n">
        <f aca="false">IF(ISBLANK(R182),"",ABS(R182-SUMIFS($R$2:$R$205,$A$2:$A$205,$A182,$B$2:$B$205,$B182,$C$2:$C$205,100)))</f>
        <v>0.0147714531282489</v>
      </c>
      <c r="AI182" s="3" t="n">
        <f aca="false">IF(ISBLANK(S182),"",ABS(S182-SUMIFS($S$2:$S$205,$A$2:$A$205,$A182,$B$2:$B$205,$B182,$C$2:$C$205,100)))</f>
        <v>0.0166828538770871</v>
      </c>
      <c r="AJ182" s="3" t="n">
        <f aca="false">MAX(V182:AI182)</f>
        <v>0.0506762808326511</v>
      </c>
    </row>
    <row r="183" customFormat="false" ht="15" hidden="false" customHeight="false" outlineLevel="0" collapsed="false">
      <c r="A183" s="2" t="s">
        <v>45</v>
      </c>
      <c r="B183" s="2" t="s">
        <v>39</v>
      </c>
      <c r="C183" s="2" t="n">
        <v>10</v>
      </c>
      <c r="D183" s="3" t="n">
        <v>-17871.2043668911</v>
      </c>
      <c r="E183" s="3" t="n">
        <v>-5.91359611732065</v>
      </c>
      <c r="F183" s="3" t="n">
        <v>-2685.79071471598</v>
      </c>
      <c r="G183" s="3" t="n">
        <v>-448.319403231114</v>
      </c>
      <c r="H183" s="3" t="n">
        <v>-430.958668214001</v>
      </c>
      <c r="I183" s="3" t="n">
        <v>-105.030744369786</v>
      </c>
      <c r="J183" s="3" t="n">
        <v>-96.855777630443</v>
      </c>
      <c r="K183" s="3" t="n">
        <v>-81.6300437841989</v>
      </c>
      <c r="L183" s="3" t="n">
        <v>-22.3020957917808</v>
      </c>
      <c r="M183" s="3" t="n">
        <v>-18.7688339467001</v>
      </c>
      <c r="N183" s="3" t="n">
        <v>-12.2797638399971</v>
      </c>
      <c r="O183" s="3" t="n">
        <v>-3.59334176255707</v>
      </c>
      <c r="P183" s="3" t="n">
        <v>-3.1648939383662</v>
      </c>
      <c r="Q183" s="3" t="n">
        <v>-2.05298969380453</v>
      </c>
      <c r="R183" s="3" t="n">
        <v>-0.357197269036332</v>
      </c>
      <c r="S183" s="3" t="n">
        <v>-0.211442813365713</v>
      </c>
      <c r="T183" s="3" t="n">
        <f aca="false">ABS(D183-SUMIFS($D$2:$D$205,$A$2:$A$205,$A183,$B$2:$B$205,$B183,$C$2:$C$205,100))</f>
        <v>0.0377800161804771</v>
      </c>
      <c r="U183" s="3" t="n">
        <f aca="false">ABS(E183-SUMIFS($E$2:$E$205,$A$2:$A$205,$A183,$B$2:$B$205,$B183,$C$2:$C$205,100))</f>
        <v>0.0415789873919259</v>
      </c>
      <c r="V183" s="3" t="n">
        <f aca="false">IF(ISBLANK(F183),"",ABS(F183-SUMIFS($F$2:$F$205,$A$2:$A$205,$A183,$B$2:$B$205,$B183,$C$2:$C$205,100)))</f>
        <v>0.0542141738010287</v>
      </c>
      <c r="W183" s="3" t="n">
        <f aca="false">IF(ISBLANK(G183),"",ABS(G183-SUMIFS($G$2:$G$205,$A$2:$A$205,$A183,$B$2:$B$205,$B183,$C$2:$C$205,100)))</f>
        <v>0.0520495967748502</v>
      </c>
      <c r="X183" s="3" t="n">
        <f aca="false">IF(ISBLANK(H183),"",ABS(H183-SUMIFS($H$2:$H$205,$A$2:$A$205,$A183,$B$2:$B$205,$B183,$C$2:$C$205,100)))</f>
        <v>0.0492647887164708</v>
      </c>
      <c r="Y183" s="3" t="n">
        <f aca="false">IF(ISBLANK(I183),"",ABS(I183-SUMIFS($I$2:$I$205,$A$2:$A$205,$A183,$B$2:$B$205,$B183,$C$2:$C$205,100)))</f>
        <v>0.0392510744593011</v>
      </c>
      <c r="Z183" s="3" t="n">
        <f aca="false">IF(ISBLANK(J183),"",ABS(J183-SUMIFS($J$2:$J$205,$A$2:$A$205,$A183,$B$2:$B$205,$B183,$C$2:$C$205,100)))</f>
        <v>0.0416076643554533</v>
      </c>
      <c r="AA183" s="3" t="n">
        <f aca="false">IF(ISBLANK(K183),"",ABS(K183-SUMIFS($K$2:$K$205,$A$2:$A$205,$A183,$B$2:$B$205,$B183,$C$2:$C$205,100)))</f>
        <v>0.0478978536737031</v>
      </c>
      <c r="AB183" s="3" t="n">
        <f aca="false">IF(ISBLANK(L183),"",ABS(L183-SUMIFS($L$2:$L$205,$A$2:$A$205,$A183,$B$2:$B$205,$B183,$C$2:$C$205,100)))</f>
        <v>0.0312329478606586</v>
      </c>
      <c r="AC183" s="3" t="n">
        <f aca="false">IF(ISBLANK(M183),"",ABS(M183-SUMIFS($M$2:$M$205,$A$2:$A$205,$A183,$B$2:$B$205,$B183,$C$2:$C$205,100)))</f>
        <v>0.0317002282441408</v>
      </c>
      <c r="AD183" s="3" t="n">
        <f aca="false">IF(ISBLANK(N183),"",ABS(N183-SUMIFS($N$2:$N$205,$A$2:$A$205,$A183,$B$2:$B$205,$B183,$C$2:$C$205,100)))</f>
        <v>0.031701376674361</v>
      </c>
      <c r="AE183" s="3" t="n">
        <f aca="false">IF(ISBLANK(O183),"",ABS(O183-SUMIFS($O$2:$O$205,$A$2:$A$205,$A183,$B$2:$B$205,$B183,$C$2:$C$205,100)))</f>
        <v>0.0292395909608301</v>
      </c>
      <c r="AF183" s="3" t="n">
        <f aca="false">IF(ISBLANK(P183),"",ABS(P183-SUMIFS($P$2:$P$205,$A$2:$A$205,$A183,$B$2:$B$205,$B183,$C$2:$C$205,100)))</f>
        <v>0.00598457450384604</v>
      </c>
      <c r="AG183" s="3" t="n">
        <f aca="false">IF(ISBLANK(Q183),"",ABS(Q183-SUMIFS($Q$2:$Q$205,$A$2:$A$205,$A183,$B$2:$B$205,$B183,$C$2:$C$205,100)))</f>
        <v>0.00426713494077591</v>
      </c>
      <c r="AH183" s="3" t="n">
        <f aca="false">IF(ISBLANK(R183),"",ABS(R183-SUMIFS($R$2:$R$205,$A$2:$A$205,$A183,$B$2:$B$205,$B183,$C$2:$C$205,100)))</f>
        <v>0.00423902299010781</v>
      </c>
      <c r="AI183" s="3" t="n">
        <f aca="false">IF(ISBLANK(S183),"",ABS(S183-SUMIFS($S$2:$S$205,$A$2:$A$205,$A183,$B$2:$B$205,$B183,$C$2:$C$205,100)))</f>
        <v>0.00758718929929619</v>
      </c>
      <c r="AJ183" s="3" t="n">
        <f aca="false">MAX(V183:AI183)</f>
        <v>0.0542141738010287</v>
      </c>
    </row>
    <row r="184" customFormat="false" ht="15" hidden="false" customHeight="false" outlineLevel="0" collapsed="false">
      <c r="A184" s="2" t="s">
        <v>45</v>
      </c>
      <c r="B184" s="2" t="s">
        <v>39</v>
      </c>
      <c r="C184" s="2" t="n">
        <v>15</v>
      </c>
      <c r="D184" s="3" t="n">
        <v>-17871.1708428838</v>
      </c>
      <c r="E184" s="3" t="n">
        <v>-5.87562414157658</v>
      </c>
      <c r="F184" s="3" t="n">
        <v>-2685.72956778532</v>
      </c>
      <c r="G184" s="3" t="n">
        <v>-448.271446598697</v>
      </c>
      <c r="H184" s="3" t="n">
        <v>-430.911285454135</v>
      </c>
      <c r="I184" s="3" t="n">
        <v>-104.992891853182</v>
      </c>
      <c r="J184" s="3" t="n">
        <v>-96.8164323138</v>
      </c>
      <c r="K184" s="3" t="n">
        <v>-81.5873800798953</v>
      </c>
      <c r="L184" s="3" t="n">
        <v>-22.2739414517352</v>
      </c>
      <c r="M184" s="3" t="n">
        <v>-18.7400607710316</v>
      </c>
      <c r="N184" s="3" t="n">
        <v>-12.2505221256405</v>
      </c>
      <c r="O184" s="3" t="n">
        <v>-3.56490644142291</v>
      </c>
      <c r="P184" s="3" t="n">
        <v>-3.15754601428897</v>
      </c>
      <c r="Q184" s="3" t="n">
        <v>-2.04785821437401</v>
      </c>
      <c r="R184" s="3" t="n">
        <v>-0.352537762461068</v>
      </c>
      <c r="S184" s="3" t="n">
        <v>-0.203527930823649</v>
      </c>
      <c r="T184" s="3" t="n">
        <f aca="false">ABS(D184-SUMIFS($D$2:$D$205,$A$2:$A$205,$A184,$B$2:$B$205,$B184,$C$2:$C$205,100))</f>
        <v>0.00425600890957867</v>
      </c>
      <c r="U184" s="3" t="n">
        <f aca="false">ABS(E184-SUMIFS($E$2:$E$205,$A$2:$A$205,$A184,$B$2:$B$205,$B184,$C$2:$C$205,100))</f>
        <v>0.00360701164785748</v>
      </c>
      <c r="V184" s="3" t="n">
        <f aca="false">IF(ISBLANK(F184),"",ABS(F184-SUMIFS($F$2:$F$205,$A$2:$A$205,$A184,$B$2:$B$205,$B184,$C$2:$C$205,100)))</f>
        <v>0.00693275686171546</v>
      </c>
      <c r="W184" s="3" t="n">
        <f aca="false">IF(ISBLANK(G184),"",ABS(G184-SUMIFS($G$2:$G$205,$A$2:$A$205,$A184,$B$2:$B$205,$B184,$C$2:$C$205,100)))</f>
        <v>0.00409296435765327</v>
      </c>
      <c r="X184" s="3" t="n">
        <f aca="false">IF(ISBLANK(H184),"",ABS(H184-SUMIFS($H$2:$H$205,$A$2:$A$205,$A184,$B$2:$B$205,$B184,$C$2:$C$205,100)))</f>
        <v>0.0018820288509005</v>
      </c>
      <c r="Y184" s="3" t="n">
        <f aca="false">IF(ISBLANK(I184),"",ABS(I184-SUMIFS($I$2:$I$205,$A$2:$A$205,$A184,$B$2:$B$205,$B184,$C$2:$C$205,100)))</f>
        <v>0.0013985578557083</v>
      </c>
      <c r="Z184" s="3" t="n">
        <f aca="false">IF(ISBLANK(J184),"",ABS(J184-SUMIFS($J$2:$J$205,$A$2:$A$205,$A184,$B$2:$B$205,$B184,$C$2:$C$205,100)))</f>
        <v>0.00226234771248812</v>
      </c>
      <c r="AA184" s="3" t="n">
        <f aca="false">IF(ISBLANK(K184),"",ABS(K184-SUMIFS($K$2:$K$205,$A$2:$A$205,$A184,$B$2:$B$205,$B184,$C$2:$C$205,100)))</f>
        <v>0.00523414937009648</v>
      </c>
      <c r="AB184" s="3" t="n">
        <f aca="false">IF(ISBLANK(L184),"",ABS(L184-SUMIFS($L$2:$L$205,$A$2:$A$205,$A184,$B$2:$B$205,$B184,$C$2:$C$205,100)))</f>
        <v>0.00307860781503067</v>
      </c>
      <c r="AC184" s="3" t="n">
        <f aca="false">IF(ISBLANK(M184),"",ABS(M184-SUMIFS($M$2:$M$205,$A$2:$A$205,$A184,$B$2:$B$205,$B184,$C$2:$C$205,100)))</f>
        <v>0.00292705257568215</v>
      </c>
      <c r="AD184" s="3" t="n">
        <f aca="false">IF(ISBLANK(N184),"",ABS(N184-SUMIFS($N$2:$N$205,$A$2:$A$205,$A184,$B$2:$B$205,$B184,$C$2:$C$205,100)))</f>
        <v>0.00245966231776151</v>
      </c>
      <c r="AE184" s="3" t="n">
        <f aca="false">IF(ISBLANK(O184),"",ABS(O184-SUMIFS($O$2:$O$205,$A$2:$A$205,$A184,$B$2:$B$205,$B184,$C$2:$C$205,100)))</f>
        <v>0.000804269826672144</v>
      </c>
      <c r="AF184" s="3" t="n">
        <f aca="false">IF(ISBLANK(P184),"",ABS(P184-SUMIFS($P$2:$P$205,$A$2:$A$205,$A184,$B$2:$B$205,$B184,$C$2:$C$205,100)))</f>
        <v>0.00136334957338891</v>
      </c>
      <c r="AG184" s="3" t="n">
        <f aca="false">IF(ISBLANK(Q184),"",ABS(Q184-SUMIFS($Q$2:$Q$205,$A$2:$A$205,$A184,$B$2:$B$205,$B184,$C$2:$C$205,100)))</f>
        <v>0.000864344489737157</v>
      </c>
      <c r="AH184" s="3" t="n">
        <f aca="false">IF(ISBLANK(R184),"",ABS(R184-SUMIFS($R$2:$R$205,$A$2:$A$205,$A184,$B$2:$B$205,$B184,$C$2:$C$205,100)))</f>
        <v>0.000420483585157005</v>
      </c>
      <c r="AI184" s="3" t="n">
        <f aca="false">IF(ISBLANK(S184),"",ABS(S184-SUMIFS($S$2:$S$205,$A$2:$A$205,$A184,$B$2:$B$205,$B184,$C$2:$C$205,100)))</f>
        <v>0.000327693242767602</v>
      </c>
      <c r="AJ184" s="3" t="n">
        <f aca="false">MAX(V184:AI184)</f>
        <v>0.00693275686171546</v>
      </c>
    </row>
    <row r="185" customFormat="false" ht="15" hidden="false" customHeight="false" outlineLevel="0" collapsed="false">
      <c r="A185" s="2" t="s">
        <v>45</v>
      </c>
      <c r="B185" s="2" t="s">
        <v>39</v>
      </c>
      <c r="C185" s="2" t="n">
        <v>20</v>
      </c>
      <c r="D185" s="3" t="n">
        <v>-17871.1640177231</v>
      </c>
      <c r="E185" s="3" t="n">
        <v>-5.86943634967249</v>
      </c>
      <c r="F185" s="3" t="n">
        <v>-2685.74008713462</v>
      </c>
      <c r="G185" s="3" t="n">
        <v>-448.269802017127</v>
      </c>
      <c r="H185" s="3" t="n">
        <v>-430.9119172247</v>
      </c>
      <c r="I185" s="3" t="n">
        <v>-104.992179370249</v>
      </c>
      <c r="J185" s="3" t="n">
        <v>-96.8150114203253</v>
      </c>
      <c r="K185" s="3" t="n">
        <v>-81.5833668909285</v>
      </c>
      <c r="L185" s="3" t="n">
        <v>-22.270345744888</v>
      </c>
      <c r="M185" s="3" t="n">
        <v>-18.7365471777266</v>
      </c>
      <c r="N185" s="3" t="n">
        <v>-12.2473393564148</v>
      </c>
      <c r="O185" s="3" t="n">
        <v>-3.56323518091186</v>
      </c>
      <c r="P185" s="3" t="n">
        <v>-3.15876522922664</v>
      </c>
      <c r="Q185" s="3" t="n">
        <v>-2.04853509945305</v>
      </c>
      <c r="R185" s="3" t="n">
        <v>-0.352629917581266</v>
      </c>
      <c r="S185" s="3" t="n">
        <v>-0.203586612527065</v>
      </c>
      <c r="T185" s="3" t="n">
        <f aca="false">ABS(D185-SUMIFS($D$2:$D$205,$A$2:$A$205,$A185,$B$2:$B$205,$B185,$C$2:$C$205,100))</f>
        <v>0.00256915183126694</v>
      </c>
      <c r="U185" s="3" t="n">
        <f aca="false">ABS(E185-SUMIFS($E$2:$E$205,$A$2:$A$205,$A185,$B$2:$B$205,$B185,$C$2:$C$205,100))</f>
        <v>0.00258078025623831</v>
      </c>
      <c r="V185" s="3" t="n">
        <f aca="false">IF(ISBLANK(F185),"",ABS(F185-SUMIFS($F$2:$F$205,$A$2:$A$205,$A185,$B$2:$B$205,$B185,$C$2:$C$205,100)))</f>
        <v>0.00358659243602233</v>
      </c>
      <c r="W185" s="3" t="n">
        <f aca="false">IF(ISBLANK(G185),"",ABS(G185-SUMIFS($G$2:$G$205,$A$2:$A$205,$A185,$B$2:$B$205,$B185,$C$2:$C$205,100)))</f>
        <v>0.00244838278774751</v>
      </c>
      <c r="X185" s="3" t="n">
        <f aca="false">IF(ISBLANK(H185),"",ABS(H185-SUMIFS($H$2:$H$205,$A$2:$A$205,$A185,$B$2:$B$205,$B185,$C$2:$C$205,100)))</f>
        <v>0.00251379941545338</v>
      </c>
      <c r="Y185" s="3" t="n">
        <f aca="false">IF(ISBLANK(I185),"",ABS(I185-SUMIFS($I$2:$I$205,$A$2:$A$205,$A185,$B$2:$B$205,$B185,$C$2:$C$205,100)))</f>
        <v>0.000686074922413127</v>
      </c>
      <c r="Z185" s="3" t="n">
        <f aca="false">IF(ISBLANK(J185),"",ABS(J185-SUMIFS($J$2:$J$205,$A$2:$A$205,$A185,$B$2:$B$205,$B185,$C$2:$C$205,100)))</f>
        <v>0.000841454237772155</v>
      </c>
      <c r="AA185" s="3" t="n">
        <f aca="false">IF(ISBLANK(K185),"",ABS(K185-SUMIFS($K$2:$K$205,$A$2:$A$205,$A185,$B$2:$B$205,$B185,$C$2:$C$205,100)))</f>
        <v>0.00122096040330177</v>
      </c>
      <c r="AB185" s="3" t="n">
        <f aca="false">IF(ISBLANK(L185),"",ABS(L185-SUMIFS($L$2:$L$205,$A$2:$A$205,$A185,$B$2:$B$205,$B185,$C$2:$C$205,100)))</f>
        <v>0.000517099032151691</v>
      </c>
      <c r="AC185" s="3" t="n">
        <f aca="false">IF(ISBLANK(M185),"",ABS(M185-SUMIFS($M$2:$M$205,$A$2:$A$205,$A185,$B$2:$B$205,$B185,$C$2:$C$205,100)))</f>
        <v>0.00058654072929798</v>
      </c>
      <c r="AD185" s="3" t="n">
        <f aca="false">IF(ISBLANK(N185),"",ABS(N185-SUMIFS($N$2:$N$205,$A$2:$A$205,$A185,$B$2:$B$205,$B185,$C$2:$C$205,100)))</f>
        <v>0.000723106907988935</v>
      </c>
      <c r="AE185" s="3" t="n">
        <f aca="false">IF(ISBLANK(O185),"",ABS(O185-SUMIFS($O$2:$O$205,$A$2:$A$205,$A185,$B$2:$B$205,$B185,$C$2:$C$205,100)))</f>
        <v>0.0008669906843779</v>
      </c>
      <c r="AF185" s="3" t="n">
        <f aca="false">IF(ISBLANK(P185),"",ABS(P185-SUMIFS($P$2:$P$205,$A$2:$A$205,$A185,$B$2:$B$205,$B185,$C$2:$C$205,100)))</f>
        <v>0.000144134635713833</v>
      </c>
      <c r="AG185" s="3" t="n">
        <f aca="false">IF(ISBLANK(Q185),"",ABS(Q185-SUMIFS($Q$2:$Q$205,$A$2:$A$205,$A185,$B$2:$B$205,$B185,$C$2:$C$205,100)))</f>
        <v>0.000187459410703195</v>
      </c>
      <c r="AH185" s="3" t="n">
        <f aca="false">IF(ISBLANK(R185),"",ABS(R185-SUMIFS($R$2:$R$205,$A$2:$A$205,$A185,$B$2:$B$205,$B185,$C$2:$C$205,100)))</f>
        <v>0.000328328464958338</v>
      </c>
      <c r="AI185" s="3" t="n">
        <f aca="false">IF(ISBLANK(S185),"",ABS(S185-SUMIFS($S$2:$S$205,$A$2:$A$205,$A185,$B$2:$B$205,$B185,$C$2:$C$205,100)))</f>
        <v>0.00026901153935141</v>
      </c>
      <c r="AJ185" s="3" t="n">
        <f aca="false">MAX(V185:AI185)</f>
        <v>0.00358659243602233</v>
      </c>
    </row>
    <row r="186" customFormat="false" ht="15" hidden="false" customHeight="false" outlineLevel="0" collapsed="false">
      <c r="A186" s="2" t="s">
        <v>45</v>
      </c>
      <c r="B186" s="2" t="s">
        <v>39</v>
      </c>
      <c r="C186" s="2" t="n">
        <v>30</v>
      </c>
      <c r="D186" s="3" t="n">
        <v>-17871.1667830538</v>
      </c>
      <c r="E186" s="3" t="n">
        <v>-5.87221437117121</v>
      </c>
      <c r="F186" s="3" t="n">
        <v>-2685.73649865127</v>
      </c>
      <c r="G186" s="3" t="n">
        <v>-448.26742390216</v>
      </c>
      <c r="H186" s="3" t="n">
        <v>-430.909414217831</v>
      </c>
      <c r="I186" s="3" t="n">
        <v>-104.991547394175</v>
      </c>
      <c r="J186" s="3" t="n">
        <v>-96.8142318079814</v>
      </c>
      <c r="K186" s="3" t="n">
        <v>-81.5822508486819</v>
      </c>
      <c r="L186" s="3" t="n">
        <v>-22.2708439743821</v>
      </c>
      <c r="M186" s="3" t="n">
        <v>-18.7371126811983</v>
      </c>
      <c r="N186" s="3" t="n">
        <v>-12.2480397533114</v>
      </c>
      <c r="O186" s="3" t="n">
        <v>-3.56407458044464</v>
      </c>
      <c r="P186" s="3" t="n">
        <v>-3.15888793808658</v>
      </c>
      <c r="Q186" s="3" t="n">
        <v>-2.04870070697029</v>
      </c>
      <c r="R186" s="3" t="n">
        <v>-0.352935790183569</v>
      </c>
      <c r="S186" s="3" t="n">
        <v>-0.203834922275299</v>
      </c>
      <c r="T186" s="3" t="n">
        <f aca="false">ABS(D186-SUMIFS($D$2:$D$205,$A$2:$A$205,$A186,$B$2:$B$205,$B186,$C$2:$C$205,100))</f>
        <v>0.000196178851183504</v>
      </c>
      <c r="U186" s="3" t="n">
        <f aca="false">ABS(E186-SUMIFS($E$2:$E$205,$A$2:$A$205,$A186,$B$2:$B$205,$B186,$C$2:$C$205,100))</f>
        <v>0.000197241242481994</v>
      </c>
      <c r="V186" s="3" t="n">
        <f aca="false">IF(ISBLANK(F186),"",ABS(F186-SUMIFS($F$2:$F$205,$A$2:$A$205,$A186,$B$2:$B$205,$B186,$C$2:$C$205,100)))</f>
        <v>1.89090769708855E-006</v>
      </c>
      <c r="W186" s="3" t="n">
        <f aca="false">IF(ISBLANK(G186),"",ABS(G186-SUMIFS($G$2:$G$205,$A$2:$A$205,$A186,$B$2:$B$205,$B186,$C$2:$C$205,100)))</f>
        <v>7.02678206039309E-005</v>
      </c>
      <c r="X186" s="3" t="n">
        <f aca="false">IF(ISBLANK(H186),"",ABS(H186-SUMIFS($H$2:$H$205,$A$2:$A$205,$A186,$B$2:$B$205,$B186,$C$2:$C$205,100)))</f>
        <v>1.07925463908032E-005</v>
      </c>
      <c r="Y186" s="3" t="n">
        <f aca="false">IF(ISBLANK(I186),"",ABS(I186-SUMIFS($I$2:$I$205,$A$2:$A$205,$A186,$B$2:$B$205,$B186,$C$2:$C$205,100)))</f>
        <v>5.40988489063921E-005</v>
      </c>
      <c r="Z186" s="3" t="n">
        <f aca="false">IF(ISBLANK(J186),"",ABS(J186-SUMIFS($J$2:$J$205,$A$2:$A$205,$A186,$B$2:$B$205,$B186,$C$2:$C$205,100)))</f>
        <v>6.18418939382082E-005</v>
      </c>
      <c r="AA186" s="3" t="n">
        <f aca="false">IF(ISBLANK(K186),"",ABS(K186-SUMIFS($K$2:$K$205,$A$2:$A$205,$A186,$B$2:$B$205,$B186,$C$2:$C$205,100)))</f>
        <v>0.000104918156779377</v>
      </c>
      <c r="AB186" s="3" t="n">
        <f aca="false">IF(ISBLANK(L186),"",ABS(L186-SUMIFS($L$2:$L$205,$A$2:$A$205,$A186,$B$2:$B$205,$B186,$C$2:$C$205,100)))</f>
        <v>1.88695381098114E-005</v>
      </c>
      <c r="AC186" s="3" t="n">
        <f aca="false">IF(ISBLANK(M186),"",ABS(M186-SUMIFS($M$2:$M$205,$A$2:$A$205,$A186,$B$2:$B$205,$B186,$C$2:$C$205,100)))</f>
        <v>2.10372575892848E-005</v>
      </c>
      <c r="AD186" s="3" t="n">
        <f aca="false">IF(ISBLANK(N186),"",ABS(N186-SUMIFS($N$2:$N$205,$A$2:$A$205,$A186,$B$2:$B$205,$B186,$C$2:$C$205,100)))</f>
        <v>2.27100113701084E-005</v>
      </c>
      <c r="AE186" s="3" t="n">
        <f aca="false">IF(ISBLANK(O186),"",ABS(O186-SUMIFS($O$2:$O$205,$A$2:$A$205,$A186,$B$2:$B$205,$B186,$C$2:$C$205,100)))</f>
        <v>2.75911515950078E-005</v>
      </c>
      <c r="AF186" s="3" t="n">
        <f aca="false">IF(ISBLANK(P186),"",ABS(P186-SUMIFS($P$2:$P$205,$A$2:$A$205,$A186,$B$2:$B$205,$B186,$C$2:$C$205,100)))</f>
        <v>2.14257757749081E-005</v>
      </c>
      <c r="AG186" s="3" t="n">
        <f aca="false">IF(ISBLANK(Q186),"",ABS(Q186-SUMIFS($Q$2:$Q$205,$A$2:$A$205,$A186,$B$2:$B$205,$B186,$C$2:$C$205,100)))</f>
        <v>2.18518934649303E-005</v>
      </c>
      <c r="AH186" s="3" t="n">
        <f aca="false">IF(ISBLANK(R186),"",ABS(R186-SUMIFS($R$2:$R$205,$A$2:$A$205,$A186,$B$2:$B$205,$B186,$C$2:$C$205,100)))</f>
        <v>2.24558626552018E-005</v>
      </c>
      <c r="AI186" s="3" t="n">
        <f aca="false">IF(ISBLANK(S186),"",ABS(S186-SUMIFS($S$2:$S$205,$A$2:$A$205,$A186,$B$2:$B$205,$B186,$C$2:$C$205,100)))</f>
        <v>2.07017911179053E-005</v>
      </c>
      <c r="AJ186" s="3" t="n">
        <f aca="false">MAX(V186:AI186)</f>
        <v>0.000104918156779377</v>
      </c>
    </row>
    <row r="187" customFormat="false" ht="15" hidden="false" customHeight="false" outlineLevel="0" collapsed="false">
      <c r="A187" s="2" t="s">
        <v>45</v>
      </c>
      <c r="B187" s="2" t="s">
        <v>39</v>
      </c>
      <c r="C187" s="2" t="n">
        <v>50</v>
      </c>
      <c r="D187" s="3" t="n">
        <v>-17871.1665872223</v>
      </c>
      <c r="E187" s="3" t="n">
        <v>-5.87201747121259</v>
      </c>
      <c r="F187" s="3" t="n">
        <v>-2685.73650064485</v>
      </c>
      <c r="G187" s="3" t="n">
        <v>-448.267353854945</v>
      </c>
      <c r="H187" s="3" t="n">
        <v>-430.909403476363</v>
      </c>
      <c r="I187" s="3" t="n">
        <v>-104.99149358352</v>
      </c>
      <c r="J187" s="3" t="n">
        <v>-96.8141702751478</v>
      </c>
      <c r="K187" s="3" t="n">
        <v>-81.5821463406059</v>
      </c>
      <c r="L187" s="3" t="n">
        <v>-22.2708630002791</v>
      </c>
      <c r="M187" s="3" t="n">
        <v>-18.7371338720489</v>
      </c>
      <c r="N187" s="3" t="n">
        <v>-12.2480626136333</v>
      </c>
      <c r="O187" s="3" t="n">
        <v>-3.56410230860485</v>
      </c>
      <c r="P187" s="3" t="n">
        <v>-3.15890947252075</v>
      </c>
      <c r="Q187" s="3" t="n">
        <v>-2.04872266956858</v>
      </c>
      <c r="R187" s="3" t="n">
        <v>-0.352958359033623</v>
      </c>
      <c r="S187" s="3" t="n">
        <v>-0.203855733650799</v>
      </c>
      <c r="T187" s="3" t="n">
        <f aca="false">ABS(D187-SUMIFS($D$2:$D$205,$A$2:$A$205,$A187,$B$2:$B$205,$B187,$C$2:$C$205,100))</f>
        <v>3.47339664585888E-007</v>
      </c>
      <c r="U187" s="3" t="n">
        <f aca="false">ABS(E187-SUMIFS($E$2:$E$205,$A$2:$A$205,$A187,$B$2:$B$205,$B187,$C$2:$C$205,100))</f>
        <v>3.41283860727515E-007</v>
      </c>
      <c r="V187" s="3" t="n">
        <f aca="false">IF(ISBLANK(F187),"",ABS(F187-SUMIFS($F$2:$F$205,$A$2:$A$205,$A187,$B$2:$B$205,$B187,$C$2:$C$205,100)))</f>
        <v>1.026751306199E-007</v>
      </c>
      <c r="W187" s="3" t="n">
        <f aca="false">IF(ISBLANK(G187),"",ABS(G187-SUMIFS($G$2:$G$205,$A$2:$A$205,$A187,$B$2:$B$205,$B187,$C$2:$C$205,100)))</f>
        <v>2.20605841150245E-007</v>
      </c>
      <c r="X187" s="3" t="n">
        <f aca="false">IF(ISBLANK(H187),"",ABS(H187-SUMIFS($H$2:$H$205,$A$2:$A$205,$A187,$B$2:$B$205,$B187,$C$2:$C$205,100)))</f>
        <v>5.10781887896883E-008</v>
      </c>
      <c r="Y187" s="3" t="n">
        <f aca="false">IF(ISBLANK(I187),"",ABS(I187-SUMIFS($I$2:$I$205,$A$2:$A$205,$A187,$B$2:$B$205,$B187,$C$2:$C$205,100)))</f>
        <v>2.88193504616174E-007</v>
      </c>
      <c r="Z187" s="3" t="n">
        <f aca="false">IF(ISBLANK(J187),"",ABS(J187-SUMIFS($J$2:$J$205,$A$2:$A$205,$A187,$B$2:$B$205,$B187,$C$2:$C$205,100)))</f>
        <v>3.09060297354336E-007</v>
      </c>
      <c r="AA187" s="3" t="n">
        <f aca="false">IF(ISBLANK(K187),"",ABS(K187-SUMIFS($K$2:$K$205,$A$2:$A$205,$A187,$B$2:$B$205,$B187,$C$2:$C$205,100)))</f>
        <v>4.10080758683762E-007</v>
      </c>
      <c r="AB187" s="3" t="n">
        <f aca="false">IF(ISBLANK(L187),"",ABS(L187-SUMIFS($L$2:$L$205,$A$2:$A$205,$A187,$B$2:$B$205,$B187,$C$2:$C$205,100)))</f>
        <v>1.56358918701471E-007</v>
      </c>
      <c r="AC187" s="3" t="n">
        <f aca="false">IF(ISBLANK(M187),"",ABS(M187-SUMIFS($M$2:$M$205,$A$2:$A$205,$A187,$B$2:$B$205,$B187,$C$2:$C$205,100)))</f>
        <v>1.53592999652119E-007</v>
      </c>
      <c r="AD187" s="3" t="n">
        <f aca="false">IF(ISBLANK(N187),"",ABS(N187-SUMIFS($N$2:$N$205,$A$2:$A$205,$A187,$B$2:$B$205,$B187,$C$2:$C$205,100)))</f>
        <v>1.5031056044279E-007</v>
      </c>
      <c r="AE187" s="3" t="n">
        <f aca="false">IF(ISBLANK(O187),"",ABS(O187-SUMIFS($O$2:$O$205,$A$2:$A$205,$A187,$B$2:$B$205,$B187,$C$2:$C$205,100)))</f>
        <v>1.37008608902534E-007</v>
      </c>
      <c r="AF187" s="3" t="n">
        <f aca="false">IF(ISBLANK(P187),"",ABS(P187-SUMIFS($P$2:$P$205,$A$2:$A$205,$A187,$B$2:$B$205,$B187,$C$2:$C$205,100)))</f>
        <v>1.08658396058559E-007</v>
      </c>
      <c r="AG187" s="3" t="n">
        <f aca="false">IF(ISBLANK(Q187),"",ABS(Q187-SUMIFS($Q$2:$Q$205,$A$2:$A$205,$A187,$B$2:$B$205,$B187,$C$2:$C$205,100)))</f>
        <v>1.1070483108E-007</v>
      </c>
      <c r="AH187" s="3" t="n">
        <f aca="false">IF(ISBLANK(R187),"",ABS(R187-SUMIFS($R$2:$R$205,$A$2:$A$205,$A187,$B$2:$B$205,$B187,$C$2:$C$205,100)))</f>
        <v>1.12987398714903E-007</v>
      </c>
      <c r="AI187" s="3" t="n">
        <f aca="false">IF(ISBLANK(S187),"",ABS(S187-SUMIFS($S$2:$S$205,$A$2:$A$205,$A187,$B$2:$B$205,$B187,$C$2:$C$205,100)))</f>
        <v>1.09584382096406E-007</v>
      </c>
      <c r="AJ187" s="3" t="n">
        <f aca="false">MAX(V187:AI187)</f>
        <v>4.10080758683762E-007</v>
      </c>
    </row>
    <row r="188" customFormat="false" ht="15" hidden="false" customHeight="false" outlineLevel="0" collapsed="false">
      <c r="A188" s="2" t="s">
        <v>45</v>
      </c>
      <c r="B188" s="2" t="s">
        <v>39</v>
      </c>
      <c r="C188" s="2" t="n">
        <v>80</v>
      </c>
      <c r="D188" s="3" t="n">
        <v>-17871.1665868749</v>
      </c>
      <c r="E188" s="3" t="n">
        <v>-5.87201712995076</v>
      </c>
      <c r="F188" s="3" t="n">
        <v>-2685.73650054227</v>
      </c>
      <c r="G188" s="3" t="n">
        <v>-448.267353634433</v>
      </c>
      <c r="H188" s="3" t="n">
        <v>-430.90940342588</v>
      </c>
      <c r="I188" s="3" t="n">
        <v>-104.99149329542</v>
      </c>
      <c r="J188" s="3" t="n">
        <v>-96.8141699660875</v>
      </c>
      <c r="K188" s="3" t="n">
        <v>-81.5821459302923</v>
      </c>
      <c r="L188" s="3" t="n">
        <v>-22.2708628440138</v>
      </c>
      <c r="M188" s="3" t="n">
        <v>-18.7371337184559</v>
      </c>
      <c r="N188" s="3" t="n">
        <v>-12.2480624630899</v>
      </c>
      <c r="O188" s="3" t="n">
        <v>-3.56410217159624</v>
      </c>
      <c r="P188" s="3" t="n">
        <v>-3.15890936395593</v>
      </c>
      <c r="Q188" s="3" t="n">
        <v>-2.04872255886375</v>
      </c>
      <c r="R188" s="3" t="n">
        <v>-0.352958245813394</v>
      </c>
      <c r="S188" s="3" t="n">
        <v>-0.20385562415999</v>
      </c>
      <c r="T188" s="3" t="n">
        <f aca="false">ABS(D188-SUMIFS($D$2:$D$205,$A$2:$A$205,$A188,$B$2:$B$205,$B188,$C$2:$C$205,100))</f>
        <v>0</v>
      </c>
      <c r="U188" s="3" t="n">
        <f aca="false">ABS(E188-SUMIFS($E$2:$E$205,$A$2:$A$205,$A188,$B$2:$B$205,$B188,$C$2:$C$205,100))</f>
        <v>2.20357065927601E-011</v>
      </c>
      <c r="V188" s="3" t="n">
        <f aca="false">IF(ISBLANK(F188),"",ABS(F188-SUMIFS($F$2:$F$205,$A$2:$A$205,$A188,$B$2:$B$205,$B188,$C$2:$C$205,100)))</f>
        <v>9.41327016334981E-011</v>
      </c>
      <c r="W188" s="3" t="n">
        <f aca="false">IF(ISBLANK(G188),"",ABS(G188-SUMIFS($G$2:$G$205,$A$2:$A$205,$A188,$B$2:$B$205,$B188,$C$2:$C$205,100)))</f>
        <v>9.37347977014724E-011</v>
      </c>
      <c r="X188" s="3" t="n">
        <f aca="false">IF(ISBLANK(H188),"",ABS(H188-SUMIFS($H$2:$H$205,$A$2:$A$205,$A188,$B$2:$B$205,$B188,$C$2:$C$205,100)))</f>
        <v>5.95548499404686E-010</v>
      </c>
      <c r="Y188" s="3" t="n">
        <f aca="false">IF(ISBLANK(I188),"",ABS(I188-SUMIFS($I$2:$I$205,$A$2:$A$205,$A188,$B$2:$B$205,$B188,$C$2:$C$205,100)))</f>
        <v>9.35074240260292E-011</v>
      </c>
      <c r="Z188" s="3" t="n">
        <f aca="false">IF(ISBLANK(J188),"",ABS(J188-SUMIFS($J$2:$J$205,$A$2:$A$205,$A188,$B$2:$B$205,$B188,$C$2:$C$205,100)))</f>
        <v>0</v>
      </c>
      <c r="AA188" s="3" t="n">
        <f aca="false">IF(ISBLANK(K188),"",ABS(K188-SUMIFS($K$2:$K$205,$A$2:$A$205,$A188,$B$2:$B$205,$B188,$C$2:$C$205,100)))</f>
        <v>2.3283064365387E-010</v>
      </c>
      <c r="AB188" s="3" t="n">
        <f aca="false">IF(ISBLANK(L188),"",ABS(L188-SUMIFS($L$2:$L$205,$A$2:$A$205,$A188,$B$2:$B$205,$B188,$C$2:$C$205,100)))</f>
        <v>9.35784782996052E-011</v>
      </c>
      <c r="AC188" s="3" t="n">
        <f aca="false">IF(ISBLANK(M188),"",ABS(M188-SUMIFS($M$2:$M$205,$A$2:$A$205,$A188,$B$2:$B$205,$B188,$C$2:$C$205,100)))</f>
        <v>0</v>
      </c>
      <c r="AD188" s="3" t="n">
        <f aca="false">IF(ISBLANK(N188),"",ABS(N188-SUMIFS($N$2:$N$205,$A$2:$A$205,$A188,$B$2:$B$205,$B188,$C$2:$C$205,100)))</f>
        <v>2.3282886729703E-010</v>
      </c>
      <c r="AE188" s="3" t="n">
        <f aca="false">IF(ISBLANK(O188),"",ABS(O188-SUMIFS($O$2:$O$205,$A$2:$A$205,$A188,$B$2:$B$205,$B188,$C$2:$C$205,100)))</f>
        <v>0</v>
      </c>
      <c r="AF188" s="3" t="n">
        <f aca="false">IF(ISBLANK(P188),"",ABS(P188-SUMIFS($P$2:$P$205,$A$2:$A$205,$A188,$B$2:$B$205,$B188,$C$2:$C$205,100)))</f>
        <v>9.35749255859264E-011</v>
      </c>
      <c r="AG188" s="3" t="n">
        <f aca="false">IF(ISBLANK(Q188),"",ABS(Q188-SUMIFS($Q$2:$Q$205,$A$2:$A$205,$A188,$B$2:$B$205,$B188,$C$2:$C$205,100)))</f>
        <v>0</v>
      </c>
      <c r="AH188" s="3" t="n">
        <f aca="false">IF(ISBLANK(R188),"",ABS(R188-SUMIFS($R$2:$R$205,$A$2:$A$205,$A188,$B$2:$B$205,$B188,$C$2:$C$205,100)))</f>
        <v>2.32830588142718E-010</v>
      </c>
      <c r="AI188" s="3" t="n">
        <f aca="false">IF(ISBLANK(S188),"",ABS(S188-SUMIFS($S$2:$S$205,$A$2:$A$205,$A188,$B$2:$B$205,$B188,$C$2:$C$205,100)))</f>
        <v>9.35733990292675E-011</v>
      </c>
      <c r="AJ188" s="3" t="n">
        <f aca="false">MAX(V188:AI188)</f>
        <v>5.95548499404686E-010</v>
      </c>
    </row>
    <row r="189" customFormat="false" ht="15" hidden="false" customHeight="false" outlineLevel="0" collapsed="false">
      <c r="A189" s="4" t="s">
        <v>45</v>
      </c>
      <c r="B189" s="4" t="s">
        <v>39</v>
      </c>
      <c r="C189" s="4" t="n">
        <v>100</v>
      </c>
      <c r="D189" s="5" t="n">
        <v>-17871.1665868749</v>
      </c>
      <c r="E189" s="5" t="n">
        <v>-5.87201712992873</v>
      </c>
      <c r="F189" s="3" t="n">
        <v>-2685.73650054218</v>
      </c>
      <c r="G189" s="3" t="n">
        <v>-448.267353634339</v>
      </c>
      <c r="H189" s="3" t="n">
        <v>-430.909403425284</v>
      </c>
      <c r="I189" s="3" t="n">
        <v>-104.991493295326</v>
      </c>
      <c r="J189" s="3" t="n">
        <v>-96.8141699660875</v>
      </c>
      <c r="K189" s="3" t="n">
        <v>-81.5821459305252</v>
      </c>
      <c r="L189" s="3" t="n">
        <v>-22.2708628439202</v>
      </c>
      <c r="M189" s="3" t="n">
        <v>-18.7371337184559</v>
      </c>
      <c r="N189" s="3" t="n">
        <v>-12.2480624633227</v>
      </c>
      <c r="O189" s="3" t="n">
        <v>-3.56410217159624</v>
      </c>
      <c r="P189" s="3" t="n">
        <v>-3.15890936386236</v>
      </c>
      <c r="Q189" s="3" t="n">
        <v>-2.04872255886375</v>
      </c>
      <c r="R189" s="3" t="n">
        <v>-0.352958246046225</v>
      </c>
      <c r="S189" s="3" t="n">
        <v>-0.203855624066417</v>
      </c>
      <c r="T189" s="3" t="n">
        <f aca="false">ABS(D189-SUMIFS($D$2:$D$205,$A$2:$A$205,$A189,$B$2:$B$205,$B189,$C$2:$C$205,100))</f>
        <v>0</v>
      </c>
      <c r="U189" s="3" t="n">
        <f aca="false">ABS(E189-SUMIFS($E$2:$E$205,$A$2:$A$205,$A189,$B$2:$B$205,$B189,$C$2:$C$205,100))</f>
        <v>0</v>
      </c>
      <c r="V189" s="3" t="n">
        <f aca="false">IF(ISBLANK(F189),"",ABS(F189-SUMIFS($F$2:$F$205,$A$2:$A$205,$A189,$B$2:$B$205,$B189,$C$2:$C$205,100)))</f>
        <v>0</v>
      </c>
      <c r="W189" s="3" t="n">
        <f aca="false">IF(ISBLANK(G189),"",ABS(G189-SUMIFS($G$2:$G$205,$A$2:$A$205,$A189,$B$2:$B$205,$B189,$C$2:$C$205,100)))</f>
        <v>0</v>
      </c>
      <c r="X189" s="3" t="n">
        <f aca="false">IF(ISBLANK(H189),"",ABS(H189-SUMIFS($H$2:$H$205,$A$2:$A$205,$A189,$B$2:$B$205,$B189,$C$2:$C$205,100)))</f>
        <v>0</v>
      </c>
      <c r="Y189" s="3" t="n">
        <f aca="false">IF(ISBLANK(I189),"",ABS(I189-SUMIFS($I$2:$I$205,$A$2:$A$205,$A189,$B$2:$B$205,$B189,$C$2:$C$205,100)))</f>
        <v>0</v>
      </c>
      <c r="Z189" s="3" t="n">
        <f aca="false">IF(ISBLANK(J189),"",ABS(J189-SUMIFS($J$2:$J$205,$A$2:$A$205,$A189,$B$2:$B$205,$B189,$C$2:$C$205,100)))</f>
        <v>0</v>
      </c>
      <c r="AA189" s="3" t="n">
        <f aca="false">IF(ISBLANK(K189),"",ABS(K189-SUMIFS($K$2:$K$205,$A$2:$A$205,$A189,$B$2:$B$205,$B189,$C$2:$C$205,100)))</f>
        <v>0</v>
      </c>
      <c r="AB189" s="3" t="n">
        <f aca="false">IF(ISBLANK(L189),"",ABS(L189-SUMIFS($L$2:$L$205,$A$2:$A$205,$A189,$B$2:$B$205,$B189,$C$2:$C$205,100)))</f>
        <v>0</v>
      </c>
      <c r="AC189" s="3" t="n">
        <f aca="false">IF(ISBLANK(M189),"",ABS(M189-SUMIFS($M$2:$M$205,$A$2:$A$205,$A189,$B$2:$B$205,$B189,$C$2:$C$205,100)))</f>
        <v>0</v>
      </c>
      <c r="AD189" s="3" t="n">
        <f aca="false">IF(ISBLANK(N189),"",ABS(N189-SUMIFS($N$2:$N$205,$A$2:$A$205,$A189,$B$2:$B$205,$B189,$C$2:$C$205,100)))</f>
        <v>0</v>
      </c>
      <c r="AE189" s="3" t="n">
        <f aca="false">IF(ISBLANK(O189),"",ABS(O189-SUMIFS($O$2:$O$205,$A$2:$A$205,$A189,$B$2:$B$205,$B189,$C$2:$C$205,100)))</f>
        <v>0</v>
      </c>
      <c r="AF189" s="3" t="n">
        <f aca="false">IF(ISBLANK(P189),"",ABS(P189-SUMIFS($P$2:$P$205,$A$2:$A$205,$A189,$B$2:$B$205,$B189,$C$2:$C$205,100)))</f>
        <v>0</v>
      </c>
      <c r="AG189" s="3" t="n">
        <f aca="false">IF(ISBLANK(Q189),"",ABS(Q189-SUMIFS($Q$2:$Q$205,$A$2:$A$205,$A189,$B$2:$B$205,$B189,$C$2:$C$205,100)))</f>
        <v>0</v>
      </c>
      <c r="AH189" s="3" t="n">
        <f aca="false">IF(ISBLANK(R189),"",ABS(R189-SUMIFS($R$2:$R$205,$A$2:$A$205,$A189,$B$2:$B$205,$B189,$C$2:$C$205,100)))</f>
        <v>0</v>
      </c>
      <c r="AI189" s="3" t="n">
        <f aca="false">IF(ISBLANK(S189),"",ABS(S189-SUMIFS($S$2:$S$205,$A$2:$A$205,$A189,$B$2:$B$205,$B189,$C$2:$C$205,100)))</f>
        <v>0</v>
      </c>
      <c r="AJ189" s="3" t="n">
        <f aca="false">MAX(V189:AI189)</f>
        <v>0</v>
      </c>
    </row>
    <row r="190" customFormat="false" ht="15" hidden="false" customHeight="false" outlineLevel="0" collapsed="false">
      <c r="A190" s="2" t="s">
        <v>45</v>
      </c>
      <c r="B190" s="2" t="s">
        <v>40</v>
      </c>
      <c r="C190" s="2" t="n">
        <v>5</v>
      </c>
      <c r="D190" s="3" t="n">
        <v>-17871.0447985585</v>
      </c>
      <c r="E190" s="3" t="n">
        <v>-5.76844274190863</v>
      </c>
      <c r="F190" s="3" t="n">
        <v>-2685.83236749945</v>
      </c>
      <c r="G190" s="3" t="n">
        <v>-448.288871949666</v>
      </c>
      <c r="H190" s="3" t="n">
        <v>-430.962814765112</v>
      </c>
      <c r="I190" s="3" t="n">
        <v>-105.001093775683</v>
      </c>
      <c r="J190" s="3" t="n">
        <v>-96.8262242821391</v>
      </c>
      <c r="K190" s="3" t="n">
        <v>-81.5810586154958</v>
      </c>
      <c r="L190" s="3" t="n">
        <v>-22.2321840014336</v>
      </c>
      <c r="M190" s="3" t="n">
        <v>-18.7016557934284</v>
      </c>
      <c r="N190" s="3" t="n">
        <v>-12.2164954177107</v>
      </c>
      <c r="O190" s="3" t="n">
        <v>-3.54658235708352</v>
      </c>
      <c r="P190" s="3" t="n">
        <v>-3.18702820070367</v>
      </c>
      <c r="Q190" s="3" t="n">
        <v>-2.07056007792</v>
      </c>
      <c r="R190" s="3" t="n">
        <v>-0.359833394527254</v>
      </c>
      <c r="S190" s="3" t="n">
        <v>-0.21655805217563</v>
      </c>
      <c r="T190" s="3" t="n">
        <f aca="false">ABS(D190-SUMIFS($D$2:$D$205,$A$2:$A$205,$A190,$B$2:$B$205,$B190,$C$2:$C$205,100))</f>
        <v>0.121788316500897</v>
      </c>
      <c r="U190" s="3" t="n">
        <f aca="false">ABS(E190-SUMIFS($E$2:$E$205,$A$2:$A$205,$A190,$B$2:$B$205,$B190,$C$2:$C$205,100))</f>
        <v>0.103574388019763</v>
      </c>
      <c r="V190" s="3" t="n">
        <f aca="false">IF(ISBLANK(F190),"",ABS(F190-SUMIFS($F$2:$F$205,$A$2:$A$205,$A190,$B$2:$B$205,$B190,$C$2:$C$205,100)))</f>
        <v>0.0958669573328734</v>
      </c>
      <c r="W190" s="3" t="n">
        <f aca="false">IF(ISBLANK(G190),"",ABS(G190-SUMIFS($G$2:$G$205,$A$2:$A$205,$A190,$B$2:$B$205,$B190,$C$2:$C$205,100)))</f>
        <v>0.0215183153935641</v>
      </c>
      <c r="X190" s="3" t="n">
        <f aca="false">IF(ISBLANK(H190),"",ABS(H190-SUMIFS($H$2:$H$205,$A$2:$A$205,$A190,$B$2:$B$205,$B190,$C$2:$C$205,100)))</f>
        <v>0.0534113398271643</v>
      </c>
      <c r="Y190" s="3" t="n">
        <f aca="false">IF(ISBLANK(I190),"",ABS(I190-SUMIFS($I$2:$I$205,$A$2:$A$205,$A190,$B$2:$B$205,$B190,$C$2:$C$205,100)))</f>
        <v>0.00960048042369976</v>
      </c>
      <c r="Z190" s="3" t="n">
        <f aca="false">IF(ISBLANK(J190),"",ABS(J190-SUMIFS($J$2:$J$205,$A$2:$A$205,$A190,$B$2:$B$205,$B190,$C$2:$C$205,100)))</f>
        <v>0.012054316051632</v>
      </c>
      <c r="AA190" s="3" t="n">
        <f aca="false">IF(ISBLANK(K190),"",ABS(K190-SUMIFS($K$2:$K$205,$A$2:$A$205,$A190,$B$2:$B$205,$B190,$C$2:$C$205,100)))</f>
        <v>0.00108731502933779</v>
      </c>
      <c r="AB190" s="3" t="n">
        <f aca="false">IF(ISBLANK(L190),"",ABS(L190-SUMIFS($L$2:$L$205,$A$2:$A$205,$A190,$B$2:$B$205,$B190,$C$2:$C$205,100)))</f>
        <v>0.0386788425738693</v>
      </c>
      <c r="AC190" s="3" t="n">
        <f aca="false">IF(ISBLANK(M190),"",ABS(M190-SUMIFS($M$2:$M$205,$A$2:$A$205,$A190,$B$2:$B$205,$B190,$C$2:$C$205,100)))</f>
        <v>0.0354779250274895</v>
      </c>
      <c r="AD190" s="3" t="n">
        <f aca="false">IF(ISBLANK(N190),"",ABS(N190-SUMIFS($N$2:$N$205,$A$2:$A$205,$A190,$B$2:$B$205,$B190,$C$2:$C$205,100)))</f>
        <v>0.0315670456120696</v>
      </c>
      <c r="AE190" s="3" t="n">
        <f aca="false">IF(ISBLANK(O190),"",ABS(O190-SUMIFS($O$2:$O$205,$A$2:$A$205,$A190,$B$2:$B$205,$B190,$C$2:$C$205,100)))</f>
        <v>0.0175198145127138</v>
      </c>
      <c r="AF190" s="3" t="n">
        <f aca="false">IF(ISBLANK(P190),"",ABS(P190-SUMIFS($P$2:$P$205,$A$2:$A$205,$A190,$B$2:$B$205,$B190,$C$2:$C$205,100)))</f>
        <v>0.0281188367539991</v>
      </c>
      <c r="AG190" s="3" t="n">
        <f aca="false">IF(ISBLANK(Q190),"",ABS(Q190-SUMIFS($Q$2:$Q$205,$A$2:$A$205,$A190,$B$2:$B$205,$B190,$C$2:$C$205,100)))</f>
        <v>0.0218375190562528</v>
      </c>
      <c r="AH190" s="3" t="n">
        <f aca="false">IF(ISBLANK(R190),"",ABS(R190-SUMIFS($R$2:$R$205,$A$2:$A$205,$A190,$B$2:$B$205,$B190,$C$2:$C$205,100)))</f>
        <v>0.00687514848102888</v>
      </c>
      <c r="AI190" s="3" t="n">
        <f aca="false">IF(ISBLANK(S190),"",ABS(S190-SUMIFS($S$2:$S$205,$A$2:$A$205,$A190,$B$2:$B$205,$B190,$C$2:$C$205,100)))</f>
        <v>0.0127024280219015</v>
      </c>
      <c r="AJ190" s="3" t="n">
        <f aca="false">MAX(V190:AI190)</f>
        <v>0.0958669573328734</v>
      </c>
    </row>
    <row r="191" customFormat="false" ht="15" hidden="false" customHeight="false" outlineLevel="0" collapsed="false">
      <c r="A191" s="2" t="s">
        <v>45</v>
      </c>
      <c r="B191" s="2" t="s">
        <v>40</v>
      </c>
      <c r="C191" s="2" t="n">
        <v>10</v>
      </c>
      <c r="D191" s="3" t="n">
        <v>-17871.1906295926</v>
      </c>
      <c r="E191" s="3" t="n">
        <v>-5.89295048811127</v>
      </c>
      <c r="F191" s="3" t="n">
        <v>-2685.75590180277</v>
      </c>
      <c r="G191" s="3" t="n">
        <v>-448.271743324405</v>
      </c>
      <c r="H191" s="3" t="n">
        <v>-430.91515611392</v>
      </c>
      <c r="I191" s="3" t="n">
        <v>-104.997873095382</v>
      </c>
      <c r="J191" s="3" t="n">
        <v>-96.8193433172238</v>
      </c>
      <c r="K191" s="3" t="n">
        <v>-81.5843958109677</v>
      </c>
      <c r="L191" s="3" t="n">
        <v>-22.2927534627234</v>
      </c>
      <c r="M191" s="3" t="n">
        <v>-18.7583859632973</v>
      </c>
      <c r="N191" s="3" t="n">
        <v>-12.2677958919434</v>
      </c>
      <c r="O191" s="3" t="n">
        <v>-3.58006594898503</v>
      </c>
      <c r="P191" s="3" t="n">
        <v>-3.1498759461531</v>
      </c>
      <c r="Q191" s="3" t="n">
        <v>-2.04122886696984</v>
      </c>
      <c r="R191" s="3" t="n">
        <v>-0.348354856638509</v>
      </c>
      <c r="S191" s="3" t="n">
        <v>-0.197581284977488</v>
      </c>
      <c r="T191" s="3" t="n">
        <f aca="false">ABS(D191-SUMIFS($D$2:$D$205,$A$2:$A$205,$A191,$B$2:$B$205,$B191,$C$2:$C$205,100))</f>
        <v>0.0240427176067897</v>
      </c>
      <c r="U191" s="3" t="n">
        <f aca="false">ABS(E191-SUMIFS($E$2:$E$205,$A$2:$A$205,$A191,$B$2:$B$205,$B191,$C$2:$C$205,100))</f>
        <v>0.0209333581828819</v>
      </c>
      <c r="V191" s="3" t="n">
        <f aca="false">IF(ISBLANK(F191),"",ABS(F191-SUMIFS($F$2:$F$205,$A$2:$A$205,$A191,$B$2:$B$205,$B191,$C$2:$C$205,100)))</f>
        <v>0.0194012606598335</v>
      </c>
      <c r="W191" s="3" t="n">
        <f aca="false">IF(ISBLANK(G191),"",ABS(G191-SUMIFS($G$2:$G$205,$A$2:$A$205,$A191,$B$2:$B$205,$B191,$C$2:$C$205,100)))</f>
        <v>0.00438969013248425</v>
      </c>
      <c r="X191" s="3" t="n">
        <f aca="false">IF(ISBLANK(H191),"",ABS(H191-SUMIFS($H$2:$H$205,$A$2:$A$205,$A191,$B$2:$B$205,$B191,$C$2:$C$205,100)))</f>
        <v>0.00575268863576639</v>
      </c>
      <c r="Y191" s="3" t="n">
        <f aca="false">IF(ISBLANK(I191),"",ABS(I191-SUMIFS($I$2:$I$205,$A$2:$A$205,$A191,$B$2:$B$205,$B191,$C$2:$C$205,100)))</f>
        <v>0.00637980012319872</v>
      </c>
      <c r="Z191" s="3" t="n">
        <f aca="false">IF(ISBLANK(J191),"",ABS(J191-SUMIFS($J$2:$J$205,$A$2:$A$205,$A191,$B$2:$B$205,$B191,$C$2:$C$205,100)))</f>
        <v>0.00517335113633521</v>
      </c>
      <c r="AA191" s="3" t="n">
        <f aca="false">IF(ISBLANK(K191),"",ABS(K191-SUMIFS($K$2:$K$205,$A$2:$A$205,$A191,$B$2:$B$205,$B191,$C$2:$C$205,100)))</f>
        <v>0.00224988044251973</v>
      </c>
      <c r="AB191" s="3" t="n">
        <f aca="false">IF(ISBLANK(L191),"",ABS(L191-SUMIFS($L$2:$L$205,$A$2:$A$205,$A191,$B$2:$B$205,$B191,$C$2:$C$205,100)))</f>
        <v>0.02189061871589</v>
      </c>
      <c r="AC191" s="3" t="n">
        <f aca="false">IF(ISBLANK(M191),"",ABS(M191-SUMIFS($M$2:$M$205,$A$2:$A$205,$A191,$B$2:$B$205,$B191,$C$2:$C$205,100)))</f>
        <v>0.0212522448414099</v>
      </c>
      <c r="AD191" s="3" t="n">
        <f aca="false">IF(ISBLANK(N191),"",ABS(N191-SUMIFS($N$2:$N$205,$A$2:$A$205,$A191,$B$2:$B$205,$B191,$C$2:$C$205,100)))</f>
        <v>0.0197334286206701</v>
      </c>
      <c r="AE191" s="3" t="n">
        <f aca="false">IF(ISBLANK(O191),"",ABS(O191-SUMIFS($O$2:$O$205,$A$2:$A$205,$A191,$B$2:$B$205,$B191,$C$2:$C$205,100)))</f>
        <v>0.0159637773887962</v>
      </c>
      <c r="AF191" s="3" t="n">
        <f aca="false">IF(ISBLANK(P191),"",ABS(P191-SUMIFS($P$2:$P$205,$A$2:$A$205,$A191,$B$2:$B$205,$B191,$C$2:$C$205,100)))</f>
        <v>0.00903341779656586</v>
      </c>
      <c r="AG191" s="3" t="n">
        <f aca="false">IF(ISBLANK(Q191),"",ABS(Q191-SUMIFS($Q$2:$Q$205,$A$2:$A$205,$A191,$B$2:$B$205,$B191,$C$2:$C$205,100)))</f>
        <v>0.00749369189390814</v>
      </c>
      <c r="AH191" s="3" t="n">
        <f aca="false">IF(ISBLANK(R191),"",ABS(R191-SUMIFS($R$2:$R$205,$A$2:$A$205,$A191,$B$2:$B$205,$B191,$C$2:$C$205,100)))</f>
        <v>0.00460338940771582</v>
      </c>
      <c r="AI191" s="3" t="n">
        <f aca="false">IF(ISBLANK(S191),"",ABS(S191-SUMIFS($S$2:$S$205,$A$2:$A$205,$A191,$B$2:$B$205,$B191,$C$2:$C$205,100)))</f>
        <v>0.0062743391762404</v>
      </c>
      <c r="AJ191" s="3" t="n">
        <f aca="false">MAX(V191:AI191)</f>
        <v>0.02189061871589</v>
      </c>
    </row>
    <row r="192" customFormat="false" ht="15" hidden="false" customHeight="false" outlineLevel="0" collapsed="false">
      <c r="A192" s="2" t="s">
        <v>45</v>
      </c>
      <c r="B192" s="2" t="s">
        <v>40</v>
      </c>
      <c r="C192" s="2" t="n">
        <v>15</v>
      </c>
      <c r="D192" s="3" t="n">
        <v>-17871.1402699486</v>
      </c>
      <c r="E192" s="3" t="n">
        <v>-5.84569006054199</v>
      </c>
      <c r="F192" s="3" t="n">
        <v>-2685.72644363599</v>
      </c>
      <c r="G192" s="3" t="n">
        <v>-448.260209182905</v>
      </c>
      <c r="H192" s="3" t="n">
        <v>-430.901595414254</v>
      </c>
      <c r="I192" s="3" t="n">
        <v>-104.988258118202</v>
      </c>
      <c r="J192" s="3" t="n">
        <v>-96.811185389621</v>
      </c>
      <c r="K192" s="3" t="n">
        <v>-81.5792592517135</v>
      </c>
      <c r="L192" s="3" t="n">
        <v>-22.2676058296211</v>
      </c>
      <c r="M192" s="3" t="n">
        <v>-18.7338562143983</v>
      </c>
      <c r="N192" s="3" t="n">
        <v>-12.2446800845162</v>
      </c>
      <c r="O192" s="3" t="n">
        <v>-3.56102012227522</v>
      </c>
      <c r="P192" s="3" t="n">
        <v>-3.15978121634648</v>
      </c>
      <c r="Q192" s="3" t="n">
        <v>-2.04960505536893</v>
      </c>
      <c r="R192" s="3" t="n">
        <v>-0.353610635026846</v>
      </c>
      <c r="S192" s="3" t="n">
        <v>-0.204058124820237</v>
      </c>
      <c r="T192" s="3" t="n">
        <f aca="false">ABS(D192-SUMIFS($D$2:$D$205,$A$2:$A$205,$A192,$B$2:$B$205,$B192,$C$2:$C$205,100))</f>
        <v>0.0263169263125747</v>
      </c>
      <c r="U192" s="3" t="n">
        <f aca="false">ABS(E192-SUMIFS($E$2:$E$205,$A$2:$A$205,$A192,$B$2:$B$205,$B192,$C$2:$C$205,100))</f>
        <v>0.0263270693864062</v>
      </c>
      <c r="V192" s="3" t="n">
        <f aca="false">IF(ISBLANK(F192),"",ABS(F192-SUMIFS($F$2:$F$205,$A$2:$A$205,$A192,$B$2:$B$205,$B192,$C$2:$C$205,100)))</f>
        <v>0.0100569061178248</v>
      </c>
      <c r="W192" s="3" t="n">
        <f aca="false">IF(ISBLANK(G192),"",ABS(G192-SUMIFS($G$2:$G$205,$A$2:$A$205,$A192,$B$2:$B$205,$B192,$C$2:$C$205,100)))</f>
        <v>0.00714445136719633</v>
      </c>
      <c r="X192" s="3" t="n">
        <f aca="false">IF(ISBLANK(H192),"",ABS(H192-SUMIFS($H$2:$H$205,$A$2:$A$205,$A192,$B$2:$B$205,$B192,$C$2:$C$205,100)))</f>
        <v>0.00780801103064732</v>
      </c>
      <c r="Y192" s="3" t="n">
        <f aca="false">IF(ISBLANK(I192),"",ABS(I192-SUMIFS($I$2:$I$205,$A$2:$A$205,$A192,$B$2:$B$205,$B192,$C$2:$C$205,100)))</f>
        <v>0.00323517705680843</v>
      </c>
      <c r="Z192" s="3" t="n">
        <f aca="false">IF(ISBLANK(J192),"",ABS(J192-SUMIFS($J$2:$J$205,$A$2:$A$205,$A192,$B$2:$B$205,$B192,$C$2:$C$205,100)))</f>
        <v>0.00298457646653105</v>
      </c>
      <c r="AA192" s="3" t="n">
        <f aca="false">IF(ISBLANK(K192),"",ABS(K192-SUMIFS($K$2:$K$205,$A$2:$A$205,$A192,$B$2:$B$205,$B192,$C$2:$C$205,100)))</f>
        <v>0.00288667881167726</v>
      </c>
      <c r="AB192" s="3" t="n">
        <f aca="false">IF(ISBLANK(L192),"",ABS(L192-SUMIFS($L$2:$L$205,$A$2:$A$205,$A192,$B$2:$B$205,$B192,$C$2:$C$205,100)))</f>
        <v>0.00325701438636727</v>
      </c>
      <c r="AC192" s="3" t="n">
        <f aca="false">IF(ISBLANK(M192),"",ABS(M192-SUMIFS($M$2:$M$205,$A$2:$A$205,$A192,$B$2:$B$205,$B192,$C$2:$C$205,100)))</f>
        <v>0.00327750405766025</v>
      </c>
      <c r="AD192" s="3" t="n">
        <f aca="false">IF(ISBLANK(N192),"",ABS(N192-SUMIFS($N$2:$N$205,$A$2:$A$205,$A192,$B$2:$B$205,$B192,$C$2:$C$205,100)))</f>
        <v>0.00338237880655967</v>
      </c>
      <c r="AE192" s="3" t="n">
        <f aca="false">IF(ISBLANK(O192),"",ABS(O192-SUMIFS($O$2:$O$205,$A$2:$A$205,$A192,$B$2:$B$205,$B192,$C$2:$C$205,100)))</f>
        <v>0.00308204932101308</v>
      </c>
      <c r="AF192" s="3" t="n">
        <f aca="false">IF(ISBLANK(P192),"",ABS(P192-SUMIFS($P$2:$P$205,$A$2:$A$205,$A192,$B$2:$B$205,$B192,$C$2:$C$205,100)))</f>
        <v>0.000871852396806094</v>
      </c>
      <c r="AG192" s="3" t="n">
        <f aca="false">IF(ISBLANK(Q192),"",ABS(Q192-SUMIFS($Q$2:$Q$205,$A$2:$A$205,$A192,$B$2:$B$205,$B192,$C$2:$C$205,100)))</f>
        <v>0.000882496505179908</v>
      </c>
      <c r="AH192" s="3" t="n">
        <f aca="false">IF(ISBLANK(R192),"",ABS(R192-SUMIFS($R$2:$R$205,$A$2:$A$205,$A192,$B$2:$B$205,$B192,$C$2:$C$205,100)))</f>
        <v>0.000652388980621199</v>
      </c>
      <c r="AI192" s="3" t="n">
        <f aca="false">IF(ISBLANK(S192),"",ABS(S192-SUMIFS($S$2:$S$205,$A$2:$A$205,$A192,$B$2:$B$205,$B192,$C$2:$C$205,100)))</f>
        <v>0.000202500666508815</v>
      </c>
      <c r="AJ192" s="3" t="n">
        <f aca="false">MAX(V192:AI192)</f>
        <v>0.0100569061178248</v>
      </c>
    </row>
    <row r="193" customFormat="false" ht="15" hidden="false" customHeight="false" outlineLevel="0" collapsed="false">
      <c r="A193" s="2" t="s">
        <v>45</v>
      </c>
      <c r="B193" s="2" t="s">
        <v>40</v>
      </c>
      <c r="C193" s="2" t="n">
        <v>20</v>
      </c>
      <c r="D193" s="3" t="n">
        <v>-17871.1573880499</v>
      </c>
      <c r="E193" s="3" t="n">
        <v>-5.86292885536875</v>
      </c>
      <c r="F193" s="3" t="n">
        <v>-2685.73861552915</v>
      </c>
      <c r="G193" s="3" t="n">
        <v>-448.268293522796</v>
      </c>
      <c r="H193" s="3" t="n">
        <v>-430.910399830254</v>
      </c>
      <c r="I193" s="3" t="n">
        <v>-104.992062908741</v>
      </c>
      <c r="J193" s="3" t="n">
        <v>-96.8147659850149</v>
      </c>
      <c r="K193" s="3" t="n">
        <v>-81.5827588948435</v>
      </c>
      <c r="L193" s="3" t="n">
        <v>-22.2710306241194</v>
      </c>
      <c r="M193" s="3" t="n">
        <v>-18.7373011525255</v>
      </c>
      <c r="N193" s="3" t="n">
        <v>-12.2482283604403</v>
      </c>
      <c r="O193" s="3" t="n">
        <v>-3.56429664004594</v>
      </c>
      <c r="P193" s="3" t="n">
        <v>-3.15910467365949</v>
      </c>
      <c r="Q193" s="3" t="n">
        <v>-2.04885044277484</v>
      </c>
      <c r="R193" s="3" t="n">
        <v>-0.353045930562545</v>
      </c>
      <c r="S193" s="3" t="n">
        <v>-0.204039202137365</v>
      </c>
      <c r="T193" s="3" t="n">
        <f aca="false">ABS(D193-SUMIFS($D$2:$D$205,$A$2:$A$205,$A193,$B$2:$B$205,$B193,$C$2:$C$205,100))</f>
        <v>0.0091988250205759</v>
      </c>
      <c r="U193" s="3" t="n">
        <f aca="false">ABS(E193-SUMIFS($E$2:$E$205,$A$2:$A$205,$A193,$B$2:$B$205,$B193,$C$2:$C$205,100))</f>
        <v>0.0090882745596419</v>
      </c>
      <c r="V193" s="3" t="n">
        <f aca="false">IF(ISBLANK(F193),"",ABS(F193-SUMIFS($F$2:$F$205,$A$2:$A$205,$A193,$B$2:$B$205,$B193,$C$2:$C$205,100)))</f>
        <v>0.00211498704175028</v>
      </c>
      <c r="W193" s="3" t="n">
        <f aca="false">IF(ISBLANK(G193),"",ABS(G193-SUMIFS($G$2:$G$205,$A$2:$A$205,$A193,$B$2:$B$205,$B193,$C$2:$C$205,100)))</f>
        <v>0.000939888524214894</v>
      </c>
      <c r="X193" s="3" t="n">
        <f aca="false">IF(ISBLANK(H193),"",ABS(H193-SUMIFS($H$2:$H$205,$A$2:$A$205,$A193,$B$2:$B$205,$B193,$C$2:$C$205,100)))</f>
        <v>0.000996404969896503</v>
      </c>
      <c r="Y193" s="3" t="n">
        <f aca="false">IF(ISBLANK(I193),"",ABS(I193-SUMIFS($I$2:$I$205,$A$2:$A$205,$A193,$B$2:$B$205,$B193,$C$2:$C$205,100)))</f>
        <v>0.000569613482198861</v>
      </c>
      <c r="Z193" s="3" t="n">
        <f aca="false">IF(ISBLANK(J193),"",ABS(J193-SUMIFS($J$2:$J$205,$A$2:$A$205,$A193,$B$2:$B$205,$B193,$C$2:$C$205,100)))</f>
        <v>0.000596018927396358</v>
      </c>
      <c r="AA193" s="3" t="n">
        <f aca="false">IF(ISBLANK(K193),"",ABS(K193-SUMIFS($K$2:$K$205,$A$2:$A$205,$A193,$B$2:$B$205,$B193,$C$2:$C$205,100)))</f>
        <v>0.000612964318349896</v>
      </c>
      <c r="AB193" s="3" t="n">
        <f aca="false">IF(ISBLANK(L193),"",ABS(L193-SUMIFS($L$2:$L$205,$A$2:$A$205,$A193,$B$2:$B$205,$B193,$C$2:$C$205,100)))</f>
        <v>0.00016778011194063</v>
      </c>
      <c r="AC193" s="3" t="n">
        <f aca="false">IF(ISBLANK(M193),"",ABS(M193-SUMIFS($M$2:$M$205,$A$2:$A$205,$A193,$B$2:$B$205,$B193,$C$2:$C$205,100)))</f>
        <v>0.00016743406957076</v>
      </c>
      <c r="AD193" s="3" t="n">
        <f aca="false">IF(ISBLANK(N193),"",ABS(N193-SUMIFS($N$2:$N$205,$A$2:$A$205,$A193,$B$2:$B$205,$B193,$C$2:$C$205,100)))</f>
        <v>0.000165897117570424</v>
      </c>
      <c r="AE193" s="3" t="n">
        <f aca="false">IF(ISBLANK(O193),"",ABS(O193-SUMIFS($O$2:$O$205,$A$2:$A$205,$A193,$B$2:$B$205,$B193,$C$2:$C$205,100)))</f>
        <v>0.000194468449702168</v>
      </c>
      <c r="AF193" s="3" t="n">
        <f aca="false">IF(ISBLANK(P193),"",ABS(P193-SUMIFS($P$2:$P$205,$A$2:$A$205,$A193,$B$2:$B$205,$B193,$C$2:$C$205,100)))</f>
        <v>0.000195309709817959</v>
      </c>
      <c r="AG193" s="3" t="n">
        <f aca="false">IF(ISBLANK(Q193),"",ABS(Q193-SUMIFS($Q$2:$Q$205,$A$2:$A$205,$A193,$B$2:$B$205,$B193,$C$2:$C$205,100)))</f>
        <v>0.000127883911090088</v>
      </c>
      <c r="AH193" s="3" t="n">
        <f aca="false">IF(ISBLANK(R193),"",ABS(R193-SUMIFS($R$2:$R$205,$A$2:$A$205,$A193,$B$2:$B$205,$B193,$C$2:$C$205,100)))</f>
        <v>8.76845163200746E-005</v>
      </c>
      <c r="AI193" s="3" t="n">
        <f aca="false">IF(ISBLANK(S193),"",ABS(S193-SUMIFS($S$2:$S$205,$A$2:$A$205,$A193,$B$2:$B$205,$B193,$C$2:$C$205,100)))</f>
        <v>0.000183577983636718</v>
      </c>
      <c r="AJ193" s="3" t="n">
        <f aca="false">MAX(V193:AI193)</f>
        <v>0.00211498704175028</v>
      </c>
    </row>
    <row r="194" customFormat="false" ht="15" hidden="false" customHeight="false" outlineLevel="0" collapsed="false">
      <c r="A194" s="2" t="s">
        <v>45</v>
      </c>
      <c r="B194" s="2" t="s">
        <v>40</v>
      </c>
      <c r="C194" s="2" t="n">
        <v>30</v>
      </c>
      <c r="D194" s="3" t="n">
        <v>-17871.166583965</v>
      </c>
      <c r="E194" s="3" t="n">
        <v>-5.87201353616661</v>
      </c>
      <c r="F194" s="3" t="n">
        <v>-2685.73658392811</v>
      </c>
      <c r="G194" s="3" t="n">
        <v>-448.2674094749</v>
      </c>
      <c r="H194" s="3" t="n">
        <v>-430.909443781891</v>
      </c>
      <c r="I194" s="3" t="n">
        <v>-104.991534292237</v>
      </c>
      <c r="J194" s="3" t="n">
        <v>-96.814213535054</v>
      </c>
      <c r="K194" s="3" t="n">
        <v>-81.5822020331166</v>
      </c>
      <c r="L194" s="3" t="n">
        <v>-22.2708906910631</v>
      </c>
      <c r="M194" s="3" t="n">
        <v>-18.7371608279688</v>
      </c>
      <c r="N194" s="3" t="n">
        <v>-12.2480884176122</v>
      </c>
      <c r="O194" s="3" t="n">
        <v>-3.56412418290105</v>
      </c>
      <c r="P194" s="3" t="n">
        <v>-3.15892150645515</v>
      </c>
      <c r="Q194" s="3" t="n">
        <v>-2.04873448002094</v>
      </c>
      <c r="R194" s="3" t="n">
        <v>-0.352970415926159</v>
      </c>
      <c r="S194" s="3" t="n">
        <v>-0.203866793801774</v>
      </c>
      <c r="T194" s="3" t="n">
        <f aca="false">ABS(D194-SUMIFS($D$2:$D$205,$A$2:$A$205,$A194,$B$2:$B$205,$B194,$C$2:$C$205,100))</f>
        <v>2.90991010842845E-006</v>
      </c>
      <c r="U194" s="3" t="n">
        <f aca="false">ABS(E194-SUMIFS($E$2:$E$205,$A$2:$A$205,$A194,$B$2:$B$205,$B194,$C$2:$C$205,100))</f>
        <v>3.59376177883064E-006</v>
      </c>
      <c r="V194" s="3" t="n">
        <f aca="false">IF(ISBLANK(F194),"",ABS(F194-SUMIFS($F$2:$F$205,$A$2:$A$205,$A194,$B$2:$B$205,$B194,$C$2:$C$205,100)))</f>
        <v>8.33859940030379E-005</v>
      </c>
      <c r="W194" s="3" t="n">
        <f aca="false">IF(ISBLANK(G194),"",ABS(G194-SUMIFS($G$2:$G$205,$A$2:$A$205,$A194,$B$2:$B$205,$B194,$C$2:$C$205,100)))</f>
        <v>5.58406283630575E-005</v>
      </c>
      <c r="X194" s="3" t="n">
        <f aca="false">IF(ISBLANK(H194),"",ABS(H194-SUMIFS($H$2:$H$205,$A$2:$A$205,$A194,$B$2:$B$205,$B194,$C$2:$C$205,100)))</f>
        <v>4.03566065756422E-005</v>
      </c>
      <c r="Y194" s="3" t="n">
        <f aca="false">IF(ISBLANK(I194),"",ABS(I194-SUMIFS($I$2:$I$205,$A$2:$A$205,$A194,$B$2:$B$205,$B194,$C$2:$C$205,100)))</f>
        <v>4.09969780008623E-005</v>
      </c>
      <c r="Z194" s="3" t="n">
        <f aca="false">IF(ISBLANK(J194),"",ABS(J194-SUMIFS($J$2:$J$205,$A$2:$A$205,$A194,$B$2:$B$205,$B194,$C$2:$C$205,100)))</f>
        <v>4.35689664755046E-005</v>
      </c>
      <c r="AA194" s="3" t="n">
        <f aca="false">IF(ISBLANK(K194),"",ABS(K194-SUMIFS($K$2:$K$205,$A$2:$A$205,$A194,$B$2:$B$205,$B194,$C$2:$C$205,100)))</f>
        <v>5.61025914294078E-005</v>
      </c>
      <c r="AB194" s="3" t="n">
        <f aca="false">IF(ISBLANK(L194),"",ABS(L194-SUMIFS($L$2:$L$205,$A$2:$A$205,$A194,$B$2:$B$205,$B194,$C$2:$C$205,100)))</f>
        <v>2.78470556409616E-005</v>
      </c>
      <c r="AC194" s="3" t="n">
        <f aca="false">IF(ISBLANK(M194),"",ABS(M194-SUMIFS($M$2:$M$205,$A$2:$A$205,$A194,$B$2:$B$205,$B194,$C$2:$C$205,100)))</f>
        <v>2.71095129100729E-005</v>
      </c>
      <c r="AD194" s="3" t="n">
        <f aca="false">IF(ISBLANK(N194),"",ABS(N194-SUMIFS($N$2:$N$205,$A$2:$A$205,$A194,$B$2:$B$205,$B194,$C$2:$C$205,100)))</f>
        <v>2.59542894607279E-005</v>
      </c>
      <c r="AE194" s="3" t="n">
        <f aca="false">IF(ISBLANK(O194),"",ABS(O194-SUMIFS($O$2:$O$205,$A$2:$A$205,$A194,$B$2:$B$205,$B194,$C$2:$C$205,100)))</f>
        <v>2.20113048090553E-005</v>
      </c>
      <c r="AF194" s="3" t="n">
        <f aca="false">IF(ISBLANK(P194),"",ABS(P194-SUMIFS($P$2:$P$205,$A$2:$A$205,$A194,$B$2:$B$205,$B194,$C$2:$C$205,100)))</f>
        <v>1.2142505485091E-005</v>
      </c>
      <c r="AG194" s="3" t="n">
        <f aca="false">IF(ISBLANK(Q194),"",ABS(Q194-SUMIFS($Q$2:$Q$205,$A$2:$A$205,$A194,$B$2:$B$205,$B194,$C$2:$C$205,100)))</f>
        <v>1.19211571929512E-005</v>
      </c>
      <c r="AH194" s="3" t="n">
        <f aca="false">IF(ISBLANK(R194),"",ABS(R194-SUMIFS($R$2:$R$205,$A$2:$A$205,$A194,$B$2:$B$205,$B194,$C$2:$C$205,100)))</f>
        <v>1.21698799344094E-005</v>
      </c>
      <c r="AI194" s="3" t="n">
        <f aca="false">IF(ISBLANK(S194),"",ABS(S194-SUMIFS($S$2:$S$205,$A$2:$A$205,$A194,$B$2:$B$205,$B194,$C$2:$C$205,100)))</f>
        <v>1.11696480459E-005</v>
      </c>
      <c r="AJ194" s="3" t="n">
        <f aca="false">MAX(V194:AI194)</f>
        <v>8.33859940030379E-005</v>
      </c>
    </row>
    <row r="195" customFormat="false" ht="15" hidden="false" customHeight="false" outlineLevel="0" collapsed="false">
      <c r="A195" s="2" t="s">
        <v>45</v>
      </c>
      <c r="B195" s="2" t="s">
        <v>40</v>
      </c>
      <c r="C195" s="2" t="n">
        <v>50</v>
      </c>
      <c r="D195" s="3" t="n">
        <v>-17871.1665869889</v>
      </c>
      <c r="E195" s="3" t="n">
        <v>-5.87201724256225</v>
      </c>
      <c r="F195" s="3" t="n">
        <v>-2685.73650064012</v>
      </c>
      <c r="G195" s="3" t="n">
        <v>-448.267353692117</v>
      </c>
      <c r="H195" s="3" t="n">
        <v>-430.90940342147</v>
      </c>
      <c r="I195" s="3" t="n">
        <v>-104.991493380969</v>
      </c>
      <c r="J195" s="3" t="n">
        <v>-96.8141700611817</v>
      </c>
      <c r="K195" s="3" t="n">
        <v>-81.5821460607391</v>
      </c>
      <c r="L195" s="3" t="n">
        <v>-22.2708628505091</v>
      </c>
      <c r="M195" s="3" t="n">
        <v>-18.7371337218178</v>
      </c>
      <c r="N195" s="3" t="n">
        <v>-12.2480624621588</v>
      </c>
      <c r="O195" s="3" t="n">
        <v>-3.56410216737484</v>
      </c>
      <c r="P195" s="3" t="n">
        <v>-3.15890936735976</v>
      </c>
      <c r="Q195" s="3" t="n">
        <v>-2.04872256222674</v>
      </c>
      <c r="R195" s="3" t="n">
        <v>-0.352958249361625</v>
      </c>
      <c r="S195" s="3" t="n">
        <v>-0.203855628489359</v>
      </c>
      <c r="T195" s="3" t="n">
        <f aca="false">ABS(D195-SUMIFS($D$2:$D$205,$A$2:$A$205,$A195,$B$2:$B$205,$B195,$C$2:$C$205,100))</f>
        <v>1.13977876026183E-007</v>
      </c>
      <c r="U195" s="3" t="n">
        <f aca="false">ABS(E195-SUMIFS($E$2:$E$205,$A$2:$A$205,$A195,$B$2:$B$205,$B195,$C$2:$C$205,100))</f>
        <v>1.12633862237033E-007</v>
      </c>
      <c r="V195" s="3" t="n">
        <f aca="false">IF(ISBLANK(F195),"",ABS(F195-SUMIFS($F$2:$F$205,$A$2:$A$205,$A195,$B$2:$B$205,$B195,$C$2:$C$205,100)))</f>
        <v>9.80089680524543E-008</v>
      </c>
      <c r="W195" s="3" t="n">
        <f aca="false">IF(ISBLANK(G195),"",ABS(G195-SUMIFS($G$2:$G$205,$A$2:$A$205,$A195,$B$2:$B$205,$B195,$C$2:$C$205,100)))</f>
        <v>5.78449999011355E-008</v>
      </c>
      <c r="X195" s="3" t="n">
        <f aca="false">IF(ISBLANK(H195),"",ABS(H195-SUMIFS($H$2:$H$205,$A$2:$A$205,$A195,$B$2:$B$205,$B195,$C$2:$C$205,100)))</f>
        <v>3.81481868316769E-009</v>
      </c>
      <c r="Y195" s="3" t="n">
        <f aca="false">IF(ISBLANK(I195),"",ABS(I195-SUMIFS($I$2:$I$205,$A$2:$A$205,$A195,$B$2:$B$205,$B195,$C$2:$C$205,100)))</f>
        <v>8.57097006701224E-008</v>
      </c>
      <c r="Z195" s="3" t="n">
        <f aca="false">IF(ISBLANK(J195),"",ABS(J195-SUMIFS($J$2:$J$205,$A$2:$A$205,$A195,$B$2:$B$205,$B195,$C$2:$C$205,100)))</f>
        <v>9.50942222743834E-008</v>
      </c>
      <c r="AA195" s="3" t="n">
        <f aca="false">IF(ISBLANK(K195),"",ABS(K195-SUMIFS($K$2:$K$205,$A$2:$A$205,$A195,$B$2:$B$205,$B195,$C$2:$C$205,100)))</f>
        <v>1.30213905435994E-007</v>
      </c>
      <c r="AB195" s="3" t="n">
        <f aca="false">IF(ISBLANK(L195),"",ABS(L195-SUMIFS($L$2:$L$205,$A$2:$A$205,$A195,$B$2:$B$205,$B195,$C$2:$C$205,100)))</f>
        <v>6.50161169346575E-009</v>
      </c>
      <c r="AC195" s="3" t="n">
        <f aca="false">IF(ISBLANK(M195),"",ABS(M195-SUMIFS($M$2:$M$205,$A$2:$A$205,$A195,$B$2:$B$205,$B195,$C$2:$C$205,100)))</f>
        <v>3.3618512418343E-009</v>
      </c>
      <c r="AD195" s="3" t="n">
        <f aca="false">IF(ISBLANK(N195),"",ABS(N195-SUMIFS($N$2:$N$205,$A$2:$A$205,$A195,$B$2:$B$205,$B195,$C$2:$C$205,100)))</f>
        <v>1.16394005544862E-009</v>
      </c>
      <c r="AE195" s="3" t="n">
        <f aca="false">IF(ISBLANK(O195),"",ABS(O195-SUMIFS($O$2:$O$205,$A$2:$A$205,$A195,$B$2:$B$205,$B195,$C$2:$C$205,100)))</f>
        <v>4.22140189471065E-009</v>
      </c>
      <c r="AF195" s="3" t="n">
        <f aca="false">IF(ISBLANK(P195),"",ABS(P195-SUMIFS($P$2:$P$205,$A$2:$A$205,$A195,$B$2:$B$205,$B195,$C$2:$C$205,100)))</f>
        <v>3.41008599136217E-009</v>
      </c>
      <c r="AG195" s="3" t="n">
        <f aca="false">IF(ISBLANK(Q195),"",ABS(Q195-SUMIFS($Q$2:$Q$205,$A$2:$A$205,$A195,$B$2:$B$205,$B195,$C$2:$C$205,100)))</f>
        <v>3.36299388337125E-009</v>
      </c>
      <c r="AH195" s="3" t="n">
        <f aca="false">IF(ISBLANK(R195),"",ABS(R195-SUMIFS($R$2:$R$205,$A$2:$A$205,$A195,$B$2:$B$205,$B195,$C$2:$C$205,100)))</f>
        <v>3.31539989906204E-009</v>
      </c>
      <c r="AI195" s="3" t="n">
        <f aca="false">IF(ISBLANK(S195),"",ABS(S195-SUMIFS($S$2:$S$205,$A$2:$A$205,$A195,$B$2:$B$205,$B195,$C$2:$C$205,100)))</f>
        <v>4.33563099311307E-009</v>
      </c>
      <c r="AJ195" s="3" t="n">
        <f aca="false">MAX(V195:AI195)</f>
        <v>1.30213905435994E-007</v>
      </c>
    </row>
    <row r="196" customFormat="false" ht="15" hidden="false" customHeight="false" outlineLevel="0" collapsed="false">
      <c r="A196" s="2" t="s">
        <v>45</v>
      </c>
      <c r="B196" s="2" t="s">
        <v>40</v>
      </c>
      <c r="C196" s="2" t="n">
        <v>80</v>
      </c>
      <c r="D196" s="3" t="n">
        <v>-17871.1665868749</v>
      </c>
      <c r="E196" s="3" t="n">
        <v>-5.87201712992265</v>
      </c>
      <c r="F196" s="3" t="n">
        <v>-2685.73650054213</v>
      </c>
      <c r="G196" s="3" t="n">
        <v>-448.267353634292</v>
      </c>
      <c r="H196" s="3" t="n">
        <v>-430.909403425284</v>
      </c>
      <c r="I196" s="3" t="n">
        <v>-104.991493295279</v>
      </c>
      <c r="J196" s="3" t="n">
        <v>-96.8141699660875</v>
      </c>
      <c r="K196" s="3" t="n">
        <v>-81.5821459305252</v>
      </c>
      <c r="L196" s="3" t="n">
        <v>-22.2708628440277</v>
      </c>
      <c r="M196" s="3" t="n">
        <v>-18.7371337184559</v>
      </c>
      <c r="N196" s="3" t="n">
        <v>-12.2480624633227</v>
      </c>
      <c r="O196" s="3" t="n">
        <v>-3.56410217159624</v>
      </c>
      <c r="P196" s="3" t="n">
        <v>-3.15890936381557</v>
      </c>
      <c r="Q196" s="3" t="n">
        <v>-2.04872255886375</v>
      </c>
      <c r="R196" s="3" t="n">
        <v>-0.352958246046225</v>
      </c>
      <c r="S196" s="3" t="n">
        <v>-0.203855624173996</v>
      </c>
      <c r="T196" s="3" t="n">
        <f aca="false">ABS(D196-SUMIFS($D$2:$D$205,$A$2:$A$205,$A196,$B$2:$B$205,$B196,$C$2:$C$205,100))</f>
        <v>0</v>
      </c>
      <c r="U196" s="3" t="n">
        <f aca="false">ABS(E196-SUMIFS($E$2:$E$205,$A$2:$A$205,$A196,$B$2:$B$205,$B196,$C$2:$C$205,100))</f>
        <v>5.73852076968251E-012</v>
      </c>
      <c r="V196" s="3" t="n">
        <f aca="false">IF(ISBLANK(F196),"",ABS(F196-SUMIFS($F$2:$F$205,$A$2:$A$205,$A196,$B$2:$B$205,$B196,$C$2:$C$205,100)))</f>
        <v>2.00088834390044E-011</v>
      </c>
      <c r="W196" s="3" t="n">
        <f aca="false">IF(ISBLANK(G196),"",ABS(G196-SUMIFS($G$2:$G$205,$A$2:$A$205,$A196,$B$2:$B$205,$B196,$C$2:$C$205,100)))</f>
        <v>2.00657268578652E-011</v>
      </c>
      <c r="X196" s="3" t="n">
        <f aca="false">IF(ISBLANK(H196),"",ABS(H196-SUMIFS($H$2:$H$205,$A$2:$A$205,$A196,$B$2:$B$205,$B196,$C$2:$C$205,100)))</f>
        <v>0</v>
      </c>
      <c r="Y196" s="3" t="n">
        <f aca="false">IF(ISBLANK(I196),"",ABS(I196-SUMIFS($I$2:$I$205,$A$2:$A$205,$A196,$B$2:$B$205,$B196,$C$2:$C$205,100)))</f>
        <v>2.02931005333085E-011</v>
      </c>
      <c r="Z196" s="3" t="n">
        <f aca="false">IF(ISBLANK(J196),"",ABS(J196-SUMIFS($J$2:$J$205,$A$2:$A$205,$A196,$B$2:$B$205,$B196,$C$2:$C$205,100)))</f>
        <v>0</v>
      </c>
      <c r="AA196" s="3" t="n">
        <f aca="false">IF(ISBLANK(K196),"",ABS(K196-SUMIFS($K$2:$K$205,$A$2:$A$205,$A196,$B$2:$B$205,$B196,$C$2:$C$205,100)))</f>
        <v>0</v>
      </c>
      <c r="AB196" s="3" t="n">
        <f aca="false">IF(ISBLANK(L196),"",ABS(L196-SUMIFS($L$2:$L$205,$A$2:$A$205,$A196,$B$2:$B$205,$B196,$C$2:$C$205,100)))</f>
        <v>2.02611261101993E-011</v>
      </c>
      <c r="AC196" s="3" t="n">
        <f aca="false">IF(ISBLANK(M196),"",ABS(M196-SUMIFS($M$2:$M$205,$A$2:$A$205,$A196,$B$2:$B$205,$B196,$C$2:$C$205,100)))</f>
        <v>0</v>
      </c>
      <c r="AD196" s="3" t="n">
        <f aca="false">IF(ISBLANK(N196),"",ABS(N196-SUMIFS($N$2:$N$205,$A$2:$A$205,$A196,$B$2:$B$205,$B196,$C$2:$C$205,100)))</f>
        <v>0</v>
      </c>
      <c r="AE196" s="3" t="n">
        <f aca="false">IF(ISBLANK(O196),"",ABS(O196-SUMIFS($O$2:$O$205,$A$2:$A$205,$A196,$B$2:$B$205,$B196,$C$2:$C$205,100)))</f>
        <v>0</v>
      </c>
      <c r="AF196" s="3" t="n">
        <f aca="false">IF(ISBLANK(P196),"",ABS(P196-SUMIFS($P$2:$P$205,$A$2:$A$205,$A196,$B$2:$B$205,$B196,$C$2:$C$205,100)))</f>
        <v>1.34098065984745E-010</v>
      </c>
      <c r="AG196" s="3" t="n">
        <f aca="false">IF(ISBLANK(Q196),"",ABS(Q196-SUMIFS($Q$2:$Q$205,$A$2:$A$205,$A196,$B$2:$B$205,$B196,$C$2:$C$205,100)))</f>
        <v>0</v>
      </c>
      <c r="AH196" s="3" t="n">
        <f aca="false">IF(ISBLANK(R196),"",ABS(R196-SUMIFS($R$2:$R$205,$A$2:$A$205,$A196,$B$2:$B$205,$B196,$C$2:$C$205,100)))</f>
        <v>0</v>
      </c>
      <c r="AI196" s="3" t="n">
        <f aca="false">IF(ISBLANK(S196),"",ABS(S196-SUMIFS($S$2:$S$205,$A$2:$A$205,$A196,$B$2:$B$205,$B196,$C$2:$C$205,100)))</f>
        <v>2.02678984706495E-011</v>
      </c>
      <c r="AJ196" s="3" t="n">
        <f aca="false">MAX(V196:AI196)</f>
        <v>1.34098065984745E-010</v>
      </c>
    </row>
    <row r="197" customFormat="false" ht="15" hidden="false" customHeight="false" outlineLevel="0" collapsed="false">
      <c r="A197" s="4" t="s">
        <v>45</v>
      </c>
      <c r="B197" s="4" t="s">
        <v>40</v>
      </c>
      <c r="C197" s="4" t="n">
        <v>100</v>
      </c>
      <c r="D197" s="5" t="n">
        <v>-17871.166586875</v>
      </c>
      <c r="E197" s="5" t="n">
        <v>-5.87201712992839</v>
      </c>
      <c r="F197" s="3" t="n">
        <v>-2685.73650054211</v>
      </c>
      <c r="G197" s="3" t="n">
        <v>-448.267353634272</v>
      </c>
      <c r="H197" s="3" t="n">
        <v>-430.909403425284</v>
      </c>
      <c r="I197" s="3" t="n">
        <v>-104.991493295259</v>
      </c>
      <c r="J197" s="3" t="n">
        <v>-96.8141699660875</v>
      </c>
      <c r="K197" s="3" t="n">
        <v>-81.5821459305252</v>
      </c>
      <c r="L197" s="3" t="n">
        <v>-22.2708628440075</v>
      </c>
      <c r="M197" s="3" t="n">
        <v>-18.7371337184559</v>
      </c>
      <c r="N197" s="3" t="n">
        <v>-12.2480624633227</v>
      </c>
      <c r="O197" s="3" t="n">
        <v>-3.56410217159624</v>
      </c>
      <c r="P197" s="3" t="n">
        <v>-3.15890936394967</v>
      </c>
      <c r="Q197" s="3" t="n">
        <v>-2.04872255886375</v>
      </c>
      <c r="R197" s="3" t="n">
        <v>-0.352958246046225</v>
      </c>
      <c r="S197" s="3" t="n">
        <v>-0.203855624153728</v>
      </c>
      <c r="T197" s="3" t="n">
        <f aca="false">ABS(D197-SUMIFS($D$2:$D$205,$A$2:$A$205,$A197,$B$2:$B$205,$B197,$C$2:$C$205,100))</f>
        <v>0</v>
      </c>
      <c r="U197" s="3" t="n">
        <f aca="false">ABS(E197-SUMIFS($E$2:$E$205,$A$2:$A$205,$A197,$B$2:$B$205,$B197,$C$2:$C$205,100))</f>
        <v>0</v>
      </c>
      <c r="V197" s="3" t="n">
        <f aca="false">IF(ISBLANK(F197),"",ABS(F197-SUMIFS($F$2:$F$205,$A$2:$A$205,$A197,$B$2:$B$205,$B197,$C$2:$C$205,100)))</f>
        <v>0</v>
      </c>
      <c r="W197" s="3" t="n">
        <f aca="false">IF(ISBLANK(G197),"",ABS(G197-SUMIFS($G$2:$G$205,$A$2:$A$205,$A197,$B$2:$B$205,$B197,$C$2:$C$205,100)))</f>
        <v>0</v>
      </c>
      <c r="X197" s="3" t="n">
        <f aca="false">IF(ISBLANK(H197),"",ABS(H197-SUMIFS($H$2:$H$205,$A$2:$A$205,$A197,$B$2:$B$205,$B197,$C$2:$C$205,100)))</f>
        <v>0</v>
      </c>
      <c r="Y197" s="3" t="n">
        <f aca="false">IF(ISBLANK(I197),"",ABS(I197-SUMIFS($I$2:$I$205,$A$2:$A$205,$A197,$B$2:$B$205,$B197,$C$2:$C$205,100)))</f>
        <v>0</v>
      </c>
      <c r="Z197" s="3" t="n">
        <f aca="false">IF(ISBLANK(J197),"",ABS(J197-SUMIFS($J$2:$J$205,$A$2:$A$205,$A197,$B$2:$B$205,$B197,$C$2:$C$205,100)))</f>
        <v>0</v>
      </c>
      <c r="AA197" s="3" t="n">
        <f aca="false">IF(ISBLANK(K197),"",ABS(K197-SUMIFS($K$2:$K$205,$A$2:$A$205,$A197,$B$2:$B$205,$B197,$C$2:$C$205,100)))</f>
        <v>0</v>
      </c>
      <c r="AB197" s="3" t="n">
        <f aca="false">IF(ISBLANK(L197),"",ABS(L197-SUMIFS($L$2:$L$205,$A$2:$A$205,$A197,$B$2:$B$205,$B197,$C$2:$C$205,100)))</f>
        <v>0</v>
      </c>
      <c r="AC197" s="3" t="n">
        <f aca="false">IF(ISBLANK(M197),"",ABS(M197-SUMIFS($M$2:$M$205,$A$2:$A$205,$A197,$B$2:$B$205,$B197,$C$2:$C$205,100)))</f>
        <v>0</v>
      </c>
      <c r="AD197" s="3" t="n">
        <f aca="false">IF(ISBLANK(N197),"",ABS(N197-SUMIFS($N$2:$N$205,$A$2:$A$205,$A197,$B$2:$B$205,$B197,$C$2:$C$205,100)))</f>
        <v>0</v>
      </c>
      <c r="AE197" s="3" t="n">
        <f aca="false">IF(ISBLANK(O197),"",ABS(O197-SUMIFS($O$2:$O$205,$A$2:$A$205,$A197,$B$2:$B$205,$B197,$C$2:$C$205,100)))</f>
        <v>0</v>
      </c>
      <c r="AF197" s="3" t="n">
        <f aca="false">IF(ISBLANK(P197),"",ABS(P197-SUMIFS($P$2:$P$205,$A$2:$A$205,$A197,$B$2:$B$205,$B197,$C$2:$C$205,100)))</f>
        <v>0</v>
      </c>
      <c r="AG197" s="3" t="n">
        <f aca="false">IF(ISBLANK(Q197),"",ABS(Q197-SUMIFS($Q$2:$Q$205,$A$2:$A$205,$A197,$B$2:$B$205,$B197,$C$2:$C$205,100)))</f>
        <v>0</v>
      </c>
      <c r="AH197" s="3" t="n">
        <f aca="false">IF(ISBLANK(R197),"",ABS(R197-SUMIFS($R$2:$R$205,$A$2:$A$205,$A197,$B$2:$B$205,$B197,$C$2:$C$205,100)))</f>
        <v>0</v>
      </c>
      <c r="AI197" s="3" t="n">
        <f aca="false">IF(ISBLANK(S197),"",ABS(S197-SUMIFS($S$2:$S$205,$A$2:$A$205,$A197,$B$2:$B$205,$B197,$C$2:$C$205,100)))</f>
        <v>0</v>
      </c>
      <c r="AJ197" s="3" t="n">
        <f aca="false">MAX(V197:AI197)</f>
        <v>0</v>
      </c>
    </row>
    <row r="198" customFormat="false" ht="15" hidden="false" customHeight="false" outlineLevel="0" collapsed="false">
      <c r="A198" s="2" t="s">
        <v>45</v>
      </c>
      <c r="B198" s="2" t="s">
        <v>41</v>
      </c>
      <c r="C198" s="2" t="n">
        <v>5</v>
      </c>
      <c r="D198" s="3" t="n">
        <v>-17869.8477501286</v>
      </c>
      <c r="E198" s="3" t="n">
        <v>-4.55209156024018</v>
      </c>
      <c r="F198" s="3" t="n">
        <v>-2685.70647523231</v>
      </c>
      <c r="G198" s="3" t="n">
        <v>-448.219451015729</v>
      </c>
      <c r="H198" s="3" t="n">
        <v>-430.862075806044</v>
      </c>
      <c r="I198" s="3" t="n">
        <v>-104.98693749533</v>
      </c>
      <c r="J198" s="3" t="n">
        <v>-96.8050253584371</v>
      </c>
      <c r="K198" s="3" t="n">
        <v>-81.5581780109993</v>
      </c>
      <c r="L198" s="3" t="n">
        <v>-22.2824739461545</v>
      </c>
      <c r="M198" s="3" t="n">
        <v>-18.7479707788356</v>
      </c>
      <c r="N198" s="3" t="n">
        <v>-12.2574105791651</v>
      </c>
      <c r="O198" s="3" t="n">
        <v>-3.5755593286919</v>
      </c>
      <c r="P198" s="3" t="n">
        <v>-3.15786766830494</v>
      </c>
      <c r="Q198" s="3" t="n">
        <v>-2.04776199940449</v>
      </c>
      <c r="R198" s="3" t="n">
        <v>-0.352342070156824</v>
      </c>
      <c r="S198" s="3" t="n">
        <v>-0.203925233716662</v>
      </c>
      <c r="T198" s="3" t="n">
        <f aca="false">ABS(D198-SUMIFS($D$2:$D$205,$A$2:$A$205,$A198,$B$2:$B$205,$B198,$C$2:$C$205,100))</f>
        <v>1.32661760925839</v>
      </c>
      <c r="U198" s="3" t="n">
        <f aca="false">ABS(E198-SUMIFS($E$2:$E$205,$A$2:$A$205,$A198,$B$2:$B$205,$B198,$C$2:$C$205,100))</f>
        <v>1.32770700406302</v>
      </c>
      <c r="V198" s="3" t="n">
        <f aca="false">IF(ISBLANK(F198),"",ABS(F198-SUMIFS($F$2:$F$205,$A$2:$A$205,$A198,$B$2:$B$205,$B198,$C$2:$C$205,100)))</f>
        <v>0.0359410714791011</v>
      </c>
      <c r="W198" s="3" t="n">
        <f aca="false">IF(ISBLANK(G198),"",ABS(G198-SUMIFS($G$2:$G$205,$A$2:$A$205,$A198,$B$2:$B$205,$B198,$C$2:$C$205,100)))</f>
        <v>0.0482222065180622</v>
      </c>
      <c r="X198" s="3" t="n">
        <f aca="false">IF(ISBLANK(H198),"",ABS(H198-SUMIFS($H$2:$H$205,$A$2:$A$205,$A198,$B$2:$B$205,$B198,$C$2:$C$205,100)))</f>
        <v>0.0477324166956237</v>
      </c>
      <c r="Y198" s="3" t="n">
        <f aca="false">IF(ISBLANK(I198),"",ABS(I198-SUMIFS($I$2:$I$205,$A$2:$A$205,$A198,$B$2:$B$205,$B198,$C$2:$C$205,100)))</f>
        <v>0.00463163117750298</v>
      </c>
      <c r="Z198" s="3" t="n">
        <f aca="false">IF(ISBLANK(J198),"",ABS(J198-SUMIFS($J$2:$J$205,$A$2:$A$205,$A198,$B$2:$B$205,$B198,$C$2:$C$205,100)))</f>
        <v>0.00924007403976646</v>
      </c>
      <c r="AA198" s="3" t="n">
        <f aca="false">IF(ISBLANK(K198),"",ABS(K198-SUMIFS($K$2:$K$205,$A$2:$A$205,$A198,$B$2:$B$205,$B198,$C$2:$C$205,100)))</f>
        <v>0.0239382202925356</v>
      </c>
      <c r="AB198" s="3" t="n">
        <f aca="false">IF(ISBLANK(L198),"",ABS(L198-SUMIFS($L$2:$L$205,$A$2:$A$205,$A198,$B$2:$B$205,$B198,$C$2:$C$205,100)))</f>
        <v>0.0115923973393919</v>
      </c>
      <c r="AC198" s="3" t="n">
        <f aca="false">IF(ISBLANK(M198),"",ABS(M198-SUMIFS($M$2:$M$205,$A$2:$A$205,$A198,$B$2:$B$205,$B198,$C$2:$C$205,100)))</f>
        <v>0.01081484482253</v>
      </c>
      <c r="AD198" s="3" t="n">
        <f aca="false">IF(ISBLANK(N198),"",ABS(N198-SUMIFS($N$2:$N$205,$A$2:$A$205,$A198,$B$2:$B$205,$B198,$C$2:$C$205,100)))</f>
        <v>0.00935436510843957</v>
      </c>
      <c r="AE198" s="3" t="n">
        <f aca="false">IF(ISBLANK(O198),"",ABS(O198-SUMIFS($O$2:$O$205,$A$2:$A$205,$A198,$B$2:$B$205,$B198,$C$2:$C$205,100)))</f>
        <v>0.0114599784477631</v>
      </c>
      <c r="AF198" s="3" t="n">
        <f aca="false">IF(ISBLANK(P198),"",ABS(P198-SUMIFS($P$2:$P$205,$A$2:$A$205,$A198,$B$2:$B$205,$B198,$C$2:$C$205,100)))</f>
        <v>0.00104529167894496</v>
      </c>
      <c r="AG198" s="3" t="n">
        <f aca="false">IF(ISBLANK(Q198),"",ABS(Q198-SUMIFS($Q$2:$Q$205,$A$2:$A$205,$A198,$B$2:$B$205,$B198,$C$2:$C$205,100)))</f>
        <v>0.000964246396224056</v>
      </c>
      <c r="AH198" s="3" t="n">
        <f aca="false">IF(ISBLANK(R198),"",ABS(R198-SUMIFS($R$2:$R$205,$A$2:$A$205,$A198,$B$2:$B$205,$B198,$C$2:$C$205,100)))</f>
        <v>0.00061571586868131</v>
      </c>
      <c r="AI198" s="3" t="n">
        <f aca="false">IF(ISBLANK(S198),"",ABS(S198-SUMIFS($S$2:$S$205,$A$2:$A$205,$A198,$B$2:$B$205,$B198,$C$2:$C$205,100)))</f>
        <v>6.9333290502599E-005</v>
      </c>
      <c r="AJ198" s="3" t="n">
        <f aca="false">MAX(V198:AI198)</f>
        <v>0.0482222065180622</v>
      </c>
    </row>
    <row r="199" customFormat="false" ht="15" hidden="false" customHeight="false" outlineLevel="0" collapsed="false">
      <c r="A199" s="2" t="s">
        <v>45</v>
      </c>
      <c r="B199" s="2" t="s">
        <v>41</v>
      </c>
      <c r="C199" s="2" t="n">
        <v>10</v>
      </c>
      <c r="D199" s="3" t="n">
        <v>-17870.7165515934</v>
      </c>
      <c r="E199" s="3" t="n">
        <v>-5.42207830973515</v>
      </c>
      <c r="F199" s="3" t="n">
        <v>-2685.66447682018</v>
      </c>
      <c r="G199" s="3" t="n">
        <v>-448.219575604916</v>
      </c>
      <c r="H199" s="3" t="n">
        <v>-430.8501001652</v>
      </c>
      <c r="I199" s="3" t="n">
        <v>-104.983160312194</v>
      </c>
      <c r="J199" s="3" t="n">
        <v>-96.8016005551712</v>
      </c>
      <c r="K199" s="3" t="n">
        <v>-81.5635846868971</v>
      </c>
      <c r="L199" s="3" t="n">
        <v>-22.2690756989089</v>
      </c>
      <c r="M199" s="3" t="n">
        <v>-18.734976423914</v>
      </c>
      <c r="N199" s="3" t="n">
        <v>-12.2466425334303</v>
      </c>
      <c r="O199" s="3" t="n">
        <v>-3.56609576773391</v>
      </c>
      <c r="P199" s="3" t="n">
        <v>-3.15924747358646</v>
      </c>
      <c r="Q199" s="3" t="n">
        <v>-2.04898619386543</v>
      </c>
      <c r="R199" s="3" t="n">
        <v>-0.353311328400612</v>
      </c>
      <c r="S199" s="3" t="n">
        <v>-0.204205080162556</v>
      </c>
      <c r="T199" s="3" t="n">
        <f aca="false">ABS(D199-SUMIFS($D$2:$D$205,$A$2:$A$205,$A199,$B$2:$B$205,$B199,$C$2:$C$205,100))</f>
        <v>0.457816144418757</v>
      </c>
      <c r="U199" s="3" t="n">
        <f aca="false">ABS(E199-SUMIFS($E$2:$E$205,$A$2:$A$205,$A199,$B$2:$B$205,$B199,$C$2:$C$205,100))</f>
        <v>0.457720254568053</v>
      </c>
      <c r="V199" s="3" t="n">
        <f aca="false">IF(ISBLANK(F199),"",ABS(F199-SUMIFS($F$2:$F$205,$A$2:$A$205,$A199,$B$2:$B$205,$B199,$C$2:$C$205,100)))</f>
        <v>0.0779394836090432</v>
      </c>
      <c r="W199" s="3" t="n">
        <f aca="false">IF(ISBLANK(G199),"",ABS(G199-SUMIFS($G$2:$G$205,$A$2:$A$205,$A199,$B$2:$B$205,$B199,$C$2:$C$205,100)))</f>
        <v>0.0480976173315639</v>
      </c>
      <c r="X199" s="3" t="n">
        <f aca="false">IF(ISBLANK(H199),"",ABS(H199-SUMIFS($H$2:$H$205,$A$2:$A$205,$A199,$B$2:$B$205,$B199,$C$2:$C$205,100)))</f>
        <v>0.059708057540206</v>
      </c>
      <c r="Y199" s="3" t="n">
        <f aca="false">IF(ISBLANK(I199),"",ABS(I199-SUMIFS($I$2:$I$205,$A$2:$A$205,$A199,$B$2:$B$205,$B199,$C$2:$C$205,100)))</f>
        <v>0.00840881431319929</v>
      </c>
      <c r="Z199" s="3" t="n">
        <f aca="false">IF(ISBLANK(J199),"",ABS(J199-SUMIFS($J$2:$J$205,$A$2:$A$205,$A199,$B$2:$B$205,$B199,$C$2:$C$205,100)))</f>
        <v>0.0126648773056814</v>
      </c>
      <c r="AA199" s="3" t="n">
        <f aca="false">IF(ISBLANK(K199),"",ABS(K199-SUMIFS($K$2:$K$205,$A$2:$A$205,$A199,$B$2:$B$205,$B199,$C$2:$C$205,100)))</f>
        <v>0.0185315443947331</v>
      </c>
      <c r="AB199" s="3" t="n">
        <f aca="false">IF(ISBLANK(L199),"",ABS(L199-SUMIFS($L$2:$L$205,$A$2:$A$205,$A199,$B$2:$B$205,$B199,$C$2:$C$205,100)))</f>
        <v>0.00180584990624766</v>
      </c>
      <c r="AC199" s="3" t="n">
        <f aca="false">IF(ISBLANK(M199),"",ABS(M199-SUMIFS($M$2:$M$205,$A$2:$A$205,$A199,$B$2:$B$205,$B199,$C$2:$C$205,100)))</f>
        <v>0.0021795100990083</v>
      </c>
      <c r="AD199" s="3" t="n">
        <f aca="false">IF(ISBLANK(N199),"",ABS(N199-SUMIFS($N$2:$N$205,$A$2:$A$205,$A199,$B$2:$B$205,$B199,$C$2:$C$205,100)))</f>
        <v>0.00141368062635117</v>
      </c>
      <c r="AE199" s="3" t="n">
        <f aca="false">IF(ISBLANK(O199),"",ABS(O199-SUMIFS($O$2:$O$205,$A$2:$A$205,$A199,$B$2:$B$205,$B199,$C$2:$C$205,100)))</f>
        <v>0.00199641748977086</v>
      </c>
      <c r="AF199" s="3" t="n">
        <f aca="false">IF(ISBLANK(P199),"",ABS(P199-SUMIFS($P$2:$P$205,$A$2:$A$205,$A199,$B$2:$B$205,$B199,$C$2:$C$205,100)))</f>
        <v>0.000334513602572084</v>
      </c>
      <c r="AG199" s="3" t="n">
        <f aca="false">IF(ISBLANK(Q199),"",ABS(Q199-SUMIFS($Q$2:$Q$205,$A$2:$A$205,$A199,$B$2:$B$205,$B199,$C$2:$C$205,100)))</f>
        <v>0.00025994806471985</v>
      </c>
      <c r="AH199" s="3" t="n">
        <f aca="false">IF(ISBLANK(R199),"",ABS(R199-SUMIFS($R$2:$R$205,$A$2:$A$205,$A199,$B$2:$B$205,$B199,$C$2:$C$205,100)))</f>
        <v>0.000353542375106875</v>
      </c>
      <c r="AI199" s="3" t="n">
        <f aca="false">IF(ISBLANK(S199),"",ABS(S199-SUMIFS($S$2:$S$205,$A$2:$A$205,$A199,$B$2:$B$205,$B199,$C$2:$C$205,100)))</f>
        <v>0.000349179736396282</v>
      </c>
      <c r="AJ199" s="3" t="n">
        <f aca="false">MAX(V199:AI199)</f>
        <v>0.0779394836090432</v>
      </c>
    </row>
    <row r="200" customFormat="false" ht="15" hidden="false" customHeight="false" outlineLevel="0" collapsed="false">
      <c r="A200" s="2" t="s">
        <v>45</v>
      </c>
      <c r="B200" s="2" t="s">
        <v>41</v>
      </c>
      <c r="C200" s="2" t="n">
        <v>15</v>
      </c>
      <c r="D200" s="3" t="n">
        <v>-17871.0104726714</v>
      </c>
      <c r="E200" s="3" t="n">
        <v>-5.7158885283129</v>
      </c>
      <c r="F200" s="3" t="n">
        <v>-2685.67358691026</v>
      </c>
      <c r="G200" s="3" t="n">
        <v>-448.255693542888</v>
      </c>
      <c r="H200" s="3" t="n">
        <v>-430.88123749433</v>
      </c>
      <c r="I200" s="3" t="n">
        <v>-104.993786554394</v>
      </c>
      <c r="J200" s="3" t="n">
        <v>-96.8158203588415</v>
      </c>
      <c r="K200" s="3" t="n">
        <v>-81.5899645461053</v>
      </c>
      <c r="L200" s="3" t="n">
        <v>-22.2707891995314</v>
      </c>
      <c r="M200" s="3" t="n">
        <v>-18.7367993900744</v>
      </c>
      <c r="N200" s="3" t="n">
        <v>-12.2483866728265</v>
      </c>
      <c r="O200" s="3" t="n">
        <v>-3.564504066637</v>
      </c>
      <c r="P200" s="3" t="n">
        <v>-3.15882862916194</v>
      </c>
      <c r="Q200" s="3" t="n">
        <v>-2.04862739044906</v>
      </c>
      <c r="R200" s="3" t="n">
        <v>-0.35297748319893</v>
      </c>
      <c r="S200" s="3" t="n">
        <v>-0.203849473623419</v>
      </c>
      <c r="T200" s="3" t="n">
        <f aca="false">ABS(D200-SUMIFS($D$2:$D$205,$A$2:$A$205,$A200,$B$2:$B$205,$B200,$C$2:$C$205,100))</f>
        <v>0.163895066430996</v>
      </c>
      <c r="U200" s="3" t="n">
        <f aca="false">ABS(E200-SUMIFS($E$2:$E$205,$A$2:$A$205,$A200,$B$2:$B$205,$B200,$C$2:$C$205,100))</f>
        <v>0.163910035990301</v>
      </c>
      <c r="V200" s="3" t="n">
        <f aca="false">IF(ISBLANK(F200),"",ABS(F200-SUMIFS($F$2:$F$205,$A$2:$A$205,$A200,$B$2:$B$205,$B200,$C$2:$C$205,100)))</f>
        <v>0.0688293935240836</v>
      </c>
      <c r="W200" s="3" t="n">
        <f aca="false">IF(ISBLANK(G200),"",ABS(G200-SUMIFS($G$2:$G$205,$A$2:$A$205,$A200,$B$2:$B$205,$B200,$C$2:$C$205,100)))</f>
        <v>0.0119796793595697</v>
      </c>
      <c r="X200" s="3" t="n">
        <f aca="false">IF(ISBLANK(H200),"",ABS(H200-SUMIFS($H$2:$H$205,$A$2:$A$205,$A200,$B$2:$B$205,$B200,$C$2:$C$205,100)))</f>
        <v>0.028570728409818</v>
      </c>
      <c r="Y200" s="3" t="n">
        <f aca="false">IF(ISBLANK(I200),"",ABS(I200-SUMIFS($I$2:$I$205,$A$2:$A$205,$A200,$B$2:$B$205,$B200,$C$2:$C$205,100)))</f>
        <v>0.00221742788700396</v>
      </c>
      <c r="Z200" s="3" t="n">
        <f aca="false">IF(ISBLANK(J200),"",ABS(J200-SUMIFS($J$2:$J$205,$A$2:$A$205,$A200,$B$2:$B$205,$B200,$C$2:$C$205,100)))</f>
        <v>0.00155492636461929</v>
      </c>
      <c r="AA200" s="3" t="n">
        <f aca="false">IF(ISBLANK(K200),"",ABS(K200-SUMIFS($K$2:$K$205,$A$2:$A$205,$A200,$B$2:$B$205,$B200,$C$2:$C$205,100)))</f>
        <v>0.00784831481341541</v>
      </c>
      <c r="AB200" s="3" t="n">
        <f aca="false">IF(ISBLANK(L200),"",ABS(L200-SUMIFS($L$2:$L$205,$A$2:$A$205,$A200,$B$2:$B$205,$B200,$C$2:$C$205,100)))</f>
        <v>9.23492837472395E-005</v>
      </c>
      <c r="AC200" s="3" t="n">
        <f aca="false">IF(ISBLANK(M200),"",ABS(M200-SUMIFS($M$2:$M$205,$A$2:$A$205,$A200,$B$2:$B$205,$B200,$C$2:$C$205,100)))</f>
        <v>0.000356543938607956</v>
      </c>
      <c r="AD200" s="3" t="n">
        <f aca="false">IF(ISBLANK(N200),"",ABS(N200-SUMIFS($N$2:$N$205,$A$2:$A$205,$A200,$B$2:$B$205,$B200,$C$2:$C$205,100)))</f>
        <v>0.000330458769768782</v>
      </c>
      <c r="AE200" s="3" t="n">
        <f aca="false">IF(ISBLANK(O200),"",ABS(O200-SUMIFS($O$2:$O$205,$A$2:$A$205,$A200,$B$2:$B$205,$B200,$C$2:$C$205,100)))</f>
        <v>0.000404716392865101</v>
      </c>
      <c r="AF200" s="3" t="n">
        <f aca="false">IF(ISBLANK(P200),"",ABS(P200-SUMIFS($P$2:$P$205,$A$2:$A$205,$A200,$B$2:$B$205,$B200,$C$2:$C$205,100)))</f>
        <v>8.43308219469208E-005</v>
      </c>
      <c r="AG200" s="3" t="n">
        <f aca="false">IF(ISBLANK(Q200),"",ABS(Q200-SUMIFS($Q$2:$Q$205,$A$2:$A$205,$A200,$B$2:$B$205,$B200,$C$2:$C$205,100)))</f>
        <v>9.88553516498847E-005</v>
      </c>
      <c r="AH200" s="3" t="n">
        <f aca="false">IF(ISBLANK(R200),"",ABS(R200-SUMIFS($R$2:$R$205,$A$2:$A$205,$A200,$B$2:$B$205,$B200,$C$2:$C$205,100)))</f>
        <v>1.96971734254814E-005</v>
      </c>
      <c r="AI200" s="3" t="n">
        <f aca="false">IF(ISBLANK(S200),"",ABS(S200-SUMIFS($S$2:$S$205,$A$2:$A$205,$A200,$B$2:$B$205,$B200,$C$2:$C$205,100)))</f>
        <v>6.42680274082208E-006</v>
      </c>
      <c r="AJ200" s="3" t="n">
        <f aca="false">MAX(V200:AI200)</f>
        <v>0.0688293935240836</v>
      </c>
    </row>
    <row r="201" customFormat="false" ht="15" hidden="false" customHeight="false" outlineLevel="0" collapsed="false">
      <c r="A201" s="2" t="s">
        <v>45</v>
      </c>
      <c r="B201" s="2" t="s">
        <v>41</v>
      </c>
      <c r="C201" s="2" t="n">
        <v>20</v>
      </c>
      <c r="D201" s="3" t="n">
        <v>-17871.0987155001</v>
      </c>
      <c r="E201" s="3" t="n">
        <v>-5.80416993790321</v>
      </c>
      <c r="F201" s="3" t="n">
        <v>-2685.68199510513</v>
      </c>
      <c r="G201" s="3" t="n">
        <v>-448.259710937657</v>
      </c>
      <c r="H201" s="3" t="n">
        <v>-430.88971265235</v>
      </c>
      <c r="I201" s="3" t="n">
        <v>-104.99164828525</v>
      </c>
      <c r="J201" s="3" t="n">
        <v>-96.8142626219799</v>
      </c>
      <c r="K201" s="3" t="n">
        <v>-81.5880310408716</v>
      </c>
      <c r="L201" s="3" t="n">
        <v>-22.2705236282855</v>
      </c>
      <c r="M201" s="3" t="n">
        <v>-18.7367325365458</v>
      </c>
      <c r="N201" s="3" t="n">
        <v>-12.2483307790231</v>
      </c>
      <c r="O201" s="3" t="n">
        <v>-3.56406919269572</v>
      </c>
      <c r="P201" s="3" t="n">
        <v>-3.15883617214567</v>
      </c>
      <c r="Q201" s="3" t="n">
        <v>-2.04864425949842</v>
      </c>
      <c r="R201" s="3" t="n">
        <v>-0.352963262894376</v>
      </c>
      <c r="S201" s="3" t="n">
        <v>-0.203850655158733</v>
      </c>
      <c r="T201" s="3" t="n">
        <f aca="false">ABS(D201-SUMIFS($D$2:$D$205,$A$2:$A$205,$A201,$B$2:$B$205,$B201,$C$2:$C$205,100))</f>
        <v>0.0756522377487272</v>
      </c>
      <c r="U201" s="3" t="n">
        <f aca="false">ABS(E201-SUMIFS($E$2:$E$205,$A$2:$A$205,$A201,$B$2:$B$205,$B201,$C$2:$C$205,100))</f>
        <v>0.0756286263999915</v>
      </c>
      <c r="V201" s="3" t="n">
        <f aca="false">IF(ISBLANK(F201),"",ABS(F201-SUMIFS($F$2:$F$205,$A$2:$A$205,$A201,$B$2:$B$205,$B201,$C$2:$C$205,100)))</f>
        <v>0.060421198656968</v>
      </c>
      <c r="W201" s="3" t="n">
        <f aca="false">IF(ISBLANK(G201),"",ABS(G201-SUMIFS($G$2:$G$205,$A$2:$A$205,$A201,$B$2:$B$205,$B201,$C$2:$C$205,100)))</f>
        <v>0.0079622845902918</v>
      </c>
      <c r="X201" s="3" t="n">
        <f aca="false">IF(ISBLANK(H201),"",ABS(H201-SUMIFS($H$2:$H$205,$A$2:$A$205,$A201,$B$2:$B$205,$B201,$C$2:$C$205,100)))</f>
        <v>0.0200955703899126</v>
      </c>
      <c r="Y201" s="3" t="n">
        <f aca="false">IF(ISBLANK(I201),"",ABS(I201-SUMIFS($I$2:$I$205,$A$2:$A$205,$A201,$B$2:$B$205,$B201,$C$2:$C$205,100)))</f>
        <v>7.91587431052676E-005</v>
      </c>
      <c r="Z201" s="3" t="n">
        <f aca="false">IF(ISBLANK(J201),"",ABS(J201-SUMIFS($J$2:$J$205,$A$2:$A$205,$A201,$B$2:$B$205,$B201,$C$2:$C$205,100)))</f>
        <v>2.81049700845415E-006</v>
      </c>
      <c r="AA201" s="3" t="n">
        <f aca="false">IF(ISBLANK(K201),"",ABS(K201-SUMIFS($K$2:$K$205,$A$2:$A$205,$A201,$B$2:$B$205,$B201,$C$2:$C$205,100)))</f>
        <v>0.00591480957979229</v>
      </c>
      <c r="AB201" s="3" t="n">
        <f aca="false">IF(ISBLANK(L201),"",ABS(L201-SUMIFS($L$2:$L$205,$A$2:$A$205,$A201,$B$2:$B$205,$B201,$C$2:$C$205,100)))</f>
        <v>0.000357920529648226</v>
      </c>
      <c r="AC201" s="3" t="n">
        <f aca="false">IF(ISBLANK(M201),"",ABS(M201-SUMIFS($M$2:$M$205,$A$2:$A$205,$A201,$B$2:$B$205,$B201,$C$2:$C$205,100)))</f>
        <v>0.000423397467269382</v>
      </c>
      <c r="AD201" s="3" t="n">
        <f aca="false">IF(ISBLANK(N201),"",ABS(N201-SUMIFS($N$2:$N$205,$A$2:$A$205,$A201,$B$2:$B$205,$B201,$C$2:$C$205,100)))</f>
        <v>0.000274564966439073</v>
      </c>
      <c r="AE201" s="3" t="n">
        <f aca="false">IF(ISBLANK(O201),"",ABS(O201-SUMIFS($O$2:$O$205,$A$2:$A$205,$A201,$B$2:$B$205,$B201,$C$2:$C$205,100)))</f>
        <v>3.01575484198402E-005</v>
      </c>
      <c r="AF201" s="3" t="n">
        <f aca="false">IF(ISBLANK(P201),"",ABS(P201-SUMIFS($P$2:$P$205,$A$2:$A$205,$A201,$B$2:$B$205,$B201,$C$2:$C$205,100)))</f>
        <v>7.67878382150755E-005</v>
      </c>
      <c r="AG201" s="3" t="n">
        <f aca="false">IF(ISBLANK(Q201),"",ABS(Q201-SUMIFS($Q$2:$Q$205,$A$2:$A$205,$A201,$B$2:$B$205,$B201,$C$2:$C$205,100)))</f>
        <v>8.19863022951672E-005</v>
      </c>
      <c r="AH201" s="3" t="n">
        <f aca="false">IF(ISBLANK(R201),"",ABS(R201-SUMIFS($R$2:$R$205,$A$2:$A$205,$A201,$B$2:$B$205,$B201,$C$2:$C$205,100)))</f>
        <v>5.47686887125698E-006</v>
      </c>
      <c r="AI201" s="3" t="n">
        <f aca="false">IF(ISBLANK(S201),"",ABS(S201-SUMIFS($S$2:$S$205,$A$2:$A$205,$A201,$B$2:$B$205,$B201,$C$2:$C$205,100)))</f>
        <v>5.24526742601283E-006</v>
      </c>
      <c r="AJ201" s="3" t="n">
        <f aca="false">MAX(V201:AI201)</f>
        <v>0.060421198656968</v>
      </c>
    </row>
    <row r="202" customFormat="false" ht="15" hidden="false" customHeight="false" outlineLevel="0" collapsed="false">
      <c r="A202" s="2" t="s">
        <v>45</v>
      </c>
      <c r="B202" s="2" t="s">
        <v>41</v>
      </c>
      <c r="C202" s="2" t="n">
        <v>30</v>
      </c>
      <c r="D202" s="3" t="n">
        <v>-17871.1730019966</v>
      </c>
      <c r="E202" s="3" t="n">
        <v>-5.87843634942452</v>
      </c>
      <c r="F202" s="3" t="n">
        <v>-2685.70660213638</v>
      </c>
      <c r="G202" s="3" t="n">
        <v>-448.270141412344</v>
      </c>
      <c r="H202" s="3" t="n">
        <v>-430.912176463455</v>
      </c>
      <c r="I202" s="3" t="n">
        <v>-104.991422741982</v>
      </c>
      <c r="J202" s="3" t="n">
        <v>-96.8141675387957</v>
      </c>
      <c r="K202" s="3" t="n">
        <v>-81.5836556354494</v>
      </c>
      <c r="L202" s="3" t="n">
        <v>-22.2708015686664</v>
      </c>
      <c r="M202" s="3" t="n">
        <v>-18.7370854043985</v>
      </c>
      <c r="N202" s="3" t="n">
        <v>-12.2482676457154</v>
      </c>
      <c r="O202" s="3" t="n">
        <v>-3.56400045681127</v>
      </c>
      <c r="P202" s="3" t="n">
        <v>-3.15887940280689</v>
      </c>
      <c r="Q202" s="3" t="n">
        <v>-2.04869673889558</v>
      </c>
      <c r="R202" s="3" t="n">
        <v>-0.352961144927815</v>
      </c>
      <c r="S202" s="3" t="n">
        <v>-0.203851415008973</v>
      </c>
      <c r="T202" s="3" t="n">
        <f aca="false">ABS(D202-SUMIFS($D$2:$D$205,$A$2:$A$205,$A202,$B$2:$B$205,$B202,$C$2:$C$205,100))</f>
        <v>0.00136574128919165</v>
      </c>
      <c r="U202" s="3" t="n">
        <f aca="false">ABS(E202-SUMIFS($E$2:$E$205,$A$2:$A$205,$A202,$B$2:$B$205,$B202,$C$2:$C$205,100))</f>
        <v>0.00136221487867871</v>
      </c>
      <c r="V202" s="3" t="n">
        <f aca="false">IF(ISBLANK(F202),"",ABS(F202-SUMIFS($F$2:$F$205,$A$2:$A$205,$A202,$B$2:$B$205,$B202,$C$2:$C$205,100)))</f>
        <v>0.035814167407807</v>
      </c>
      <c r="W202" s="3" t="n">
        <f aca="false">IF(ISBLANK(G202),"",ABS(G202-SUMIFS($G$2:$G$205,$A$2:$A$205,$A202,$B$2:$B$205,$B202,$C$2:$C$205,100)))</f>
        <v>0.00246819009640831</v>
      </c>
      <c r="X202" s="3" t="n">
        <f aca="false">IF(ISBLANK(H202),"",ABS(H202-SUMIFS($H$2:$H$205,$A$2:$A$205,$A202,$B$2:$B$205,$B202,$C$2:$C$205,100)))</f>
        <v>0.00236824071521369</v>
      </c>
      <c r="Y202" s="3" t="n">
        <f aca="false">IF(ISBLANK(I202),"",ABS(I202-SUMIFS($I$2:$I$205,$A$2:$A$205,$A202,$B$2:$B$205,$B202,$C$2:$C$205,100)))</f>
        <v>0.000146384525194776</v>
      </c>
      <c r="Z202" s="3" t="n">
        <f aca="false">IF(ISBLANK(J202),"",ABS(J202-SUMIFS($J$2:$J$205,$A$2:$A$205,$A202,$B$2:$B$205,$B202,$C$2:$C$205,100)))</f>
        <v>9.78936812288112E-005</v>
      </c>
      <c r="AA202" s="3" t="n">
        <f aca="false">IF(ISBLANK(K202),"",ABS(K202-SUMIFS($K$2:$K$205,$A$2:$A$205,$A202,$B$2:$B$205,$B202,$C$2:$C$205,100)))</f>
        <v>0.00153940415759735</v>
      </c>
      <c r="AB202" s="3" t="n">
        <f aca="false">IF(ISBLANK(L202),"",ABS(L202-SUMIFS($L$2:$L$205,$A$2:$A$205,$A202,$B$2:$B$205,$B202,$C$2:$C$205,100)))</f>
        <v>7.99801487474383E-005</v>
      </c>
      <c r="AC202" s="3" t="n">
        <f aca="false">IF(ISBLANK(M202),"",ABS(M202-SUMIFS($M$2:$M$205,$A$2:$A$205,$A202,$B$2:$B$205,$B202,$C$2:$C$205,100)))</f>
        <v>7.05296145575574E-005</v>
      </c>
      <c r="AD202" s="3" t="n">
        <f aca="false">IF(ISBLANK(N202),"",ABS(N202-SUMIFS($N$2:$N$205,$A$2:$A$205,$A202,$B$2:$B$205,$B202,$C$2:$C$205,100)))</f>
        <v>0.0002114316587285</v>
      </c>
      <c r="AE202" s="3" t="n">
        <f aca="false">IF(ISBLANK(O202),"",ABS(O202-SUMIFS($O$2:$O$205,$A$2:$A$205,$A202,$B$2:$B$205,$B202,$C$2:$C$205,100)))</f>
        <v>9.88934328698399E-005</v>
      </c>
      <c r="AF202" s="3" t="n">
        <f aca="false">IF(ISBLANK(P202),"",ABS(P202-SUMIFS($P$2:$P$205,$A$2:$A$205,$A202,$B$2:$B$205,$B202,$C$2:$C$205,100)))</f>
        <v>3.35571769980447E-005</v>
      </c>
      <c r="AG202" s="3" t="n">
        <f aca="false">IF(ISBLANK(Q202),"",ABS(Q202-SUMIFS($Q$2:$Q$205,$A$2:$A$205,$A202,$B$2:$B$205,$B202,$C$2:$C$205,100)))</f>
        <v>2.95069051330366E-005</v>
      </c>
      <c r="AH202" s="3" t="n">
        <f aca="false">IF(ISBLANK(R202),"",ABS(R202-SUMIFS($R$2:$R$205,$A$2:$A$205,$A202,$B$2:$B$205,$B202,$C$2:$C$205,100)))</f>
        <v>3.35890231056846E-006</v>
      </c>
      <c r="AI202" s="3" t="n">
        <f aca="false">IF(ISBLANK(S202),"",ABS(S202-SUMIFS($S$2:$S$205,$A$2:$A$205,$A202,$B$2:$B$205,$B202,$C$2:$C$205,100)))</f>
        <v>4.48541718631179E-006</v>
      </c>
      <c r="AJ202" s="3" t="n">
        <f aca="false">MAX(V202:AI202)</f>
        <v>0.035814167407807</v>
      </c>
    </row>
    <row r="203" customFormat="false" ht="15" hidden="false" customHeight="false" outlineLevel="0" collapsed="false">
      <c r="A203" s="2" t="s">
        <v>45</v>
      </c>
      <c r="B203" s="2" t="s">
        <v>41</v>
      </c>
      <c r="C203" s="2" t="n">
        <v>50</v>
      </c>
      <c r="D203" s="3" t="n">
        <v>-17871.1708480434</v>
      </c>
      <c r="E203" s="3" t="n">
        <v>-5.87628147475731</v>
      </c>
      <c r="F203" s="3" t="n">
        <v>-2685.71368261576</v>
      </c>
      <c r="G203" s="3" t="n">
        <v>-448.26783521549</v>
      </c>
      <c r="H203" s="3" t="n">
        <v>-430.913268589878</v>
      </c>
      <c r="I203" s="3" t="n">
        <v>-104.991346878774</v>
      </c>
      <c r="J203" s="3" t="n">
        <v>-96.8144897181816</v>
      </c>
      <c r="K203" s="3" t="n">
        <v>-81.5822700794718</v>
      </c>
      <c r="L203" s="3" t="n">
        <v>-22.2708210018351</v>
      </c>
      <c r="M203" s="3" t="n">
        <v>-18.7371985529753</v>
      </c>
      <c r="N203" s="3" t="n">
        <v>-12.248104081276</v>
      </c>
      <c r="O203" s="3" t="n">
        <v>-3.56406751288938</v>
      </c>
      <c r="P203" s="3" t="n">
        <v>-3.15889691819928</v>
      </c>
      <c r="Q203" s="3" t="n">
        <v>-2.04872885465514</v>
      </c>
      <c r="R203" s="3" t="n">
        <v>-0.352959454066883</v>
      </c>
      <c r="S203" s="3" t="n">
        <v>-0.203855159765001</v>
      </c>
      <c r="T203" s="3" t="n">
        <f aca="false">ABS(D203-SUMIFS($D$2:$D$205,$A$2:$A$205,$A203,$B$2:$B$205,$B203,$C$2:$C$205,100))</f>
        <v>0.00351969447001466</v>
      </c>
      <c r="U203" s="3" t="n">
        <f aca="false">ABS(E203-SUMIFS($E$2:$E$205,$A$2:$A$205,$A203,$B$2:$B$205,$B203,$C$2:$C$205,100))</f>
        <v>0.00351708954589025</v>
      </c>
      <c r="V203" s="3" t="n">
        <f aca="false">IF(ISBLANK(F203),"",ABS(F203-SUMIFS($F$2:$F$205,$A$2:$A$205,$A203,$B$2:$B$205,$B203,$C$2:$C$205,100)))</f>
        <v>0.0287336880251132</v>
      </c>
      <c r="W203" s="3" t="n">
        <f aca="false">IF(ISBLANK(G203),"",ABS(G203-SUMIFS($G$2:$G$205,$A$2:$A$205,$A203,$B$2:$B$205,$B203,$C$2:$C$205,100)))</f>
        <v>0.000161993243011693</v>
      </c>
      <c r="X203" s="3" t="n">
        <f aca="false">IF(ISBLANK(H203),"",ABS(H203-SUMIFS($H$2:$H$205,$A$2:$A$205,$A203,$B$2:$B$205,$B203,$C$2:$C$205,100)))</f>
        <v>0.00346036713818876</v>
      </c>
      <c r="Y203" s="3" t="n">
        <f aca="false">IF(ISBLANK(I203),"",ABS(I203-SUMIFS($I$2:$I$205,$A$2:$A$205,$A203,$B$2:$B$205,$B203,$C$2:$C$205,100)))</f>
        <v>0.00022224773320545</v>
      </c>
      <c r="Z203" s="3" t="n">
        <f aca="false">IF(ISBLANK(J203),"",ABS(J203-SUMIFS($J$2:$J$205,$A$2:$A$205,$A203,$B$2:$B$205,$B203,$C$2:$C$205,100)))</f>
        <v>0.000224285704717886</v>
      </c>
      <c r="AA203" s="3" t="n">
        <f aca="false">IF(ISBLANK(K203),"",ABS(K203-SUMIFS($K$2:$K$205,$A$2:$A$205,$A203,$B$2:$B$205,$B203,$C$2:$C$205,100)))</f>
        <v>0.000153848179991201</v>
      </c>
      <c r="AB203" s="3" t="n">
        <f aca="false">IF(ISBLANK(L203),"",ABS(L203-SUMIFS($L$2:$L$205,$A$2:$A$205,$A203,$B$2:$B$205,$B203,$C$2:$C$205,100)))</f>
        <v>6.05469800198932E-005</v>
      </c>
      <c r="AC203" s="3" t="n">
        <f aca="false">IF(ISBLANK(M203),"",ABS(M203-SUMIFS($M$2:$M$205,$A$2:$A$205,$A203,$B$2:$B$205,$B203,$C$2:$C$205,100)))</f>
        <v>4.26189622722006E-005</v>
      </c>
      <c r="AD203" s="3" t="n">
        <f aca="false">IF(ISBLANK(N203),"",ABS(N203-SUMIFS($N$2:$N$205,$A$2:$A$205,$A203,$B$2:$B$205,$B203,$C$2:$C$205,100)))</f>
        <v>4.7867219258535E-005</v>
      </c>
      <c r="AE203" s="3" t="n">
        <f aca="false">IF(ISBLANK(O203),"",ABS(O203-SUMIFS($O$2:$O$205,$A$2:$A$205,$A203,$B$2:$B$205,$B203,$C$2:$C$205,100)))</f>
        <v>3.18373547569806E-005</v>
      </c>
      <c r="AF203" s="3" t="n">
        <f aca="false">IF(ISBLANK(P203),"",ABS(P203-SUMIFS($P$2:$P$205,$A$2:$A$205,$A203,$B$2:$B$205,$B203,$C$2:$C$205,100)))</f>
        <v>1.60417846091221E-005</v>
      </c>
      <c r="AG203" s="3" t="n">
        <f aca="false">IF(ISBLANK(Q203),"",ABS(Q203-SUMIFS($Q$2:$Q$205,$A$2:$A$205,$A203,$B$2:$B$205,$B203,$C$2:$C$205,100)))</f>
        <v>2.60885442493475E-006</v>
      </c>
      <c r="AH203" s="3" t="n">
        <f aca="false">IF(ISBLANK(R203),"",ABS(R203-SUMIFS($R$2:$R$205,$A$2:$A$205,$A203,$B$2:$B$205,$B203,$C$2:$C$205,100)))</f>
        <v>1.6680413782999E-006</v>
      </c>
      <c r="AI203" s="3" t="n">
        <f aca="false">IF(ISBLANK(S203),"",ABS(S203-SUMIFS($S$2:$S$205,$A$2:$A$205,$A203,$B$2:$B$205,$B203,$C$2:$C$205,100)))</f>
        <v>7.40661158710188E-007</v>
      </c>
      <c r="AJ203" s="3" t="n">
        <f aca="false">MAX(V203:AI203)</f>
        <v>0.0287336880251132</v>
      </c>
    </row>
    <row r="204" customFormat="false" ht="15" hidden="false" customHeight="false" outlineLevel="0" collapsed="false">
      <c r="A204" s="2" t="s">
        <v>45</v>
      </c>
      <c r="B204" s="2" t="s">
        <v>41</v>
      </c>
      <c r="C204" s="2" t="n">
        <v>80</v>
      </c>
      <c r="D204" s="3" t="n">
        <v>-17871.1786787318</v>
      </c>
      <c r="E204" s="3" t="n">
        <v>-5.88410984208008</v>
      </c>
      <c r="F204" s="3" t="n">
        <v>-2685.73847261702</v>
      </c>
      <c r="G204" s="3" t="n">
        <v>-448.267439655107</v>
      </c>
      <c r="H204" s="3" t="n">
        <v>-430.910288684436</v>
      </c>
      <c r="I204" s="3" t="n">
        <v>-104.991524932723</v>
      </c>
      <c r="J204" s="3" t="n">
        <v>-96.81434035589</v>
      </c>
      <c r="K204" s="3" t="n">
        <v>-81.5821029828706</v>
      </c>
      <c r="L204" s="3" t="n">
        <v>-22.270870089941</v>
      </c>
      <c r="M204" s="3" t="n">
        <v>-18.7371713352733</v>
      </c>
      <c r="N204" s="3" t="n">
        <v>-12.2480548533288</v>
      </c>
      <c r="O204" s="3" t="n">
        <v>-3.56409794292293</v>
      </c>
      <c r="P204" s="3" t="n">
        <v>-3.15891073373931</v>
      </c>
      <c r="Q204" s="3" t="n">
        <v>-2.04872871026616</v>
      </c>
      <c r="R204" s="3" t="n">
        <v>-0.352957783829693</v>
      </c>
      <c r="S204" s="3" t="n">
        <v>-0.203855890432395</v>
      </c>
      <c r="T204" s="3" t="n">
        <f aca="false">ABS(D204-SUMIFS($D$2:$D$205,$A$2:$A$205,$A204,$B$2:$B$205,$B204,$C$2:$C$205,100))</f>
        <v>0.00431099391062162</v>
      </c>
      <c r="U204" s="3" t="n">
        <f aca="false">ABS(E204-SUMIFS($E$2:$E$205,$A$2:$A$205,$A204,$B$2:$B$205,$B204,$C$2:$C$205,100))</f>
        <v>0.00431127777687923</v>
      </c>
      <c r="V204" s="3" t="n">
        <f aca="false">IF(ISBLANK(F204),"",ABS(F204-SUMIFS($F$2:$F$205,$A$2:$A$205,$A204,$B$2:$B$205,$B204,$C$2:$C$205,100)))</f>
        <v>0.00394368676916201</v>
      </c>
      <c r="W204" s="3" t="n">
        <f aca="false">IF(ISBLANK(G204),"",ABS(G204-SUMIFS($G$2:$G$205,$A$2:$A$205,$A204,$B$2:$B$205,$B204,$C$2:$C$205,100)))</f>
        <v>0.000233567140298874</v>
      </c>
      <c r="X204" s="3" t="n">
        <f aca="false">IF(ISBLANK(H204),"",ABS(H204-SUMIFS($H$2:$H$205,$A$2:$A$205,$A204,$B$2:$B$205,$B204,$C$2:$C$205,100)))</f>
        <v>0.000480461696326984</v>
      </c>
      <c r="Y204" s="3" t="n">
        <f aca="false">IF(ISBLANK(I204),"",ABS(I204-SUMIFS($I$2:$I$205,$A$2:$A$205,$A204,$B$2:$B$205,$B204,$C$2:$C$205,100)))</f>
        <v>4.4193784404456E-005</v>
      </c>
      <c r="Z204" s="3" t="n">
        <f aca="false">IF(ISBLANK(J204),"",ABS(J204-SUMIFS($J$2:$J$205,$A$2:$A$205,$A204,$B$2:$B$205,$B204,$C$2:$C$205,100)))</f>
        <v>7.49234130950072E-005</v>
      </c>
      <c r="AA204" s="3" t="n">
        <f aca="false">IF(ISBLANK(K204),"",ABS(K204-SUMIFS($K$2:$K$205,$A$2:$A$205,$A204,$B$2:$B$205,$B204,$C$2:$C$205,100)))</f>
        <v>1.32484212826967E-005</v>
      </c>
      <c r="AB204" s="3" t="n">
        <f aca="false">IF(ISBLANK(L204),"",ABS(L204-SUMIFS($L$2:$L$205,$A$2:$A$205,$A204,$B$2:$B$205,$B204,$C$2:$C$205,100)))</f>
        <v>1.1458874148218E-005</v>
      </c>
      <c r="AC204" s="3" t="n">
        <f aca="false">IF(ISBLANK(M204),"",ABS(M204-SUMIFS($M$2:$M$205,$A$2:$A$205,$A204,$B$2:$B$205,$B204,$C$2:$C$205,100)))</f>
        <v>1.54012602209264E-005</v>
      </c>
      <c r="AD204" s="3" t="n">
        <f aca="false">IF(ISBLANK(N204),"",ABS(N204-SUMIFS($N$2:$N$205,$A$2:$A$205,$A204,$B$2:$B$205,$B204,$C$2:$C$205,100)))</f>
        <v>1.360727910793E-006</v>
      </c>
      <c r="AE204" s="3" t="n">
        <f aca="false">IF(ISBLANK(O204),"",ABS(O204-SUMIFS($O$2:$O$205,$A$2:$A$205,$A204,$B$2:$B$205,$B204,$C$2:$C$205,100)))</f>
        <v>1.4073212102339E-006</v>
      </c>
      <c r="AF204" s="3" t="n">
        <f aca="false">IF(ISBLANK(P204),"",ABS(P204-SUMIFS($P$2:$P$205,$A$2:$A$205,$A204,$B$2:$B$205,$B204,$C$2:$C$205,100)))</f>
        <v>2.22624457313358E-006</v>
      </c>
      <c r="AG204" s="3" t="n">
        <f aca="false">IF(ISBLANK(Q204),"",ABS(Q204-SUMIFS($Q$2:$Q$205,$A$2:$A$205,$A204,$B$2:$B$205,$B204,$C$2:$C$205,100)))</f>
        <v>2.46446544283074E-006</v>
      </c>
      <c r="AH204" s="3" t="n">
        <f aca="false">IF(ISBLANK(R204),"",ABS(R204-SUMIFS($R$2:$R$205,$A$2:$A$205,$A204,$B$2:$B$205,$B204,$C$2:$C$205,100)))</f>
        <v>2.19581153260151E-009</v>
      </c>
      <c r="AI204" s="3" t="n">
        <f aca="false">IF(ISBLANK(S204),"",ABS(S204-SUMIFS($S$2:$S$205,$A$2:$A$205,$A204,$B$2:$B$205,$B204,$C$2:$C$205,100)))</f>
        <v>9.99376462140766E-009</v>
      </c>
      <c r="AJ204" s="3" t="n">
        <f aca="false">MAX(V204:AI204)</f>
        <v>0.00394368676916201</v>
      </c>
    </row>
    <row r="205" customFormat="false" ht="15" hidden="false" customHeight="false" outlineLevel="0" collapsed="false">
      <c r="A205" s="4" t="s">
        <v>45</v>
      </c>
      <c r="B205" s="4" t="s">
        <v>41</v>
      </c>
      <c r="C205" s="4" t="n">
        <v>100</v>
      </c>
      <c r="D205" s="5" t="n">
        <v>-17871.1743677378</v>
      </c>
      <c r="E205" s="5" t="n">
        <v>-5.8797985643032</v>
      </c>
      <c r="F205" s="3" t="n">
        <v>-2685.74241630378</v>
      </c>
      <c r="G205" s="3" t="n">
        <v>-448.267673222247</v>
      </c>
      <c r="H205" s="3" t="n">
        <v>-430.90980822274</v>
      </c>
      <c r="I205" s="3" t="n">
        <v>-104.991569126507</v>
      </c>
      <c r="J205" s="3" t="n">
        <v>-96.8142654324769</v>
      </c>
      <c r="K205" s="3" t="n">
        <v>-81.5821162312918</v>
      </c>
      <c r="L205" s="3" t="n">
        <v>-22.2708815488151</v>
      </c>
      <c r="M205" s="3" t="n">
        <v>-18.737155934013</v>
      </c>
      <c r="N205" s="3" t="n">
        <v>-12.2480562140567</v>
      </c>
      <c r="O205" s="3" t="n">
        <v>-3.56409935024414</v>
      </c>
      <c r="P205" s="3" t="n">
        <v>-3.15891295998389</v>
      </c>
      <c r="Q205" s="3" t="n">
        <v>-2.04872624580071</v>
      </c>
      <c r="R205" s="3" t="n">
        <v>-0.352957786025505</v>
      </c>
      <c r="S205" s="3" t="n">
        <v>-0.203855900426159</v>
      </c>
      <c r="T205" s="3" t="n">
        <f aca="false">ABS(D205-SUMIFS($D$2:$D$205,$A$2:$A$205,$A205,$B$2:$B$205,$B205,$C$2:$C$205,100))</f>
        <v>0</v>
      </c>
      <c r="U205" s="3" t="n">
        <f aca="false">ABS(E205-SUMIFS($E$2:$E$205,$A$2:$A$205,$A205,$B$2:$B$205,$B205,$C$2:$C$205,100))</f>
        <v>0</v>
      </c>
      <c r="V205" s="3" t="n">
        <f aca="false">IF(ISBLANK(F205),"",ABS(F205-SUMIFS($F$2:$F$205,$A$2:$A$205,$A205,$B$2:$B$205,$B205,$C$2:$C$205,100)))</f>
        <v>0</v>
      </c>
      <c r="W205" s="3" t="n">
        <f aca="false">IF(ISBLANK(G205),"",ABS(G205-SUMIFS($G$2:$G$205,$A$2:$A$205,$A205,$B$2:$B$205,$B205,$C$2:$C$205,100)))</f>
        <v>0</v>
      </c>
      <c r="X205" s="3" t="n">
        <f aca="false">IF(ISBLANK(H205),"",ABS(H205-SUMIFS($H$2:$H$205,$A$2:$A$205,$A205,$B$2:$B$205,$B205,$C$2:$C$205,100)))</f>
        <v>0</v>
      </c>
      <c r="Y205" s="3" t="n">
        <f aca="false">IF(ISBLANK(I205),"",ABS(I205-SUMIFS($I$2:$I$205,$A$2:$A$205,$A205,$B$2:$B$205,$B205,$C$2:$C$205,100)))</f>
        <v>0</v>
      </c>
      <c r="Z205" s="3" t="n">
        <f aca="false">IF(ISBLANK(J205),"",ABS(J205-SUMIFS($J$2:$J$205,$A$2:$A$205,$A205,$B$2:$B$205,$B205,$C$2:$C$205,100)))</f>
        <v>0</v>
      </c>
      <c r="AA205" s="3" t="n">
        <f aca="false">IF(ISBLANK(K205),"",ABS(K205-SUMIFS($K$2:$K$205,$A$2:$A$205,$A205,$B$2:$B$205,$B205,$C$2:$C$205,100)))</f>
        <v>0</v>
      </c>
      <c r="AB205" s="3" t="n">
        <f aca="false">IF(ISBLANK(L205),"",ABS(L205-SUMIFS($L$2:$L$205,$A$2:$A$205,$A205,$B$2:$B$205,$B205,$C$2:$C$205,100)))</f>
        <v>0</v>
      </c>
      <c r="AC205" s="3" t="n">
        <f aca="false">IF(ISBLANK(M205),"",ABS(M205-SUMIFS($M$2:$M$205,$A$2:$A$205,$A205,$B$2:$B$205,$B205,$C$2:$C$205,100)))</f>
        <v>0</v>
      </c>
      <c r="AD205" s="3" t="n">
        <f aca="false">IF(ISBLANK(N205),"",ABS(N205-SUMIFS($N$2:$N$205,$A$2:$A$205,$A205,$B$2:$B$205,$B205,$C$2:$C$205,100)))</f>
        <v>0</v>
      </c>
      <c r="AE205" s="3" t="n">
        <f aca="false">IF(ISBLANK(O205),"",ABS(O205-SUMIFS($O$2:$O$205,$A$2:$A$205,$A205,$B$2:$B$205,$B205,$C$2:$C$205,100)))</f>
        <v>0</v>
      </c>
      <c r="AF205" s="3" t="n">
        <f aca="false">IF(ISBLANK(P205),"",ABS(P205-SUMIFS($P$2:$P$205,$A$2:$A$205,$A205,$B$2:$B$205,$B205,$C$2:$C$205,100)))</f>
        <v>0</v>
      </c>
      <c r="AG205" s="3" t="n">
        <f aca="false">IF(ISBLANK(Q205),"",ABS(Q205-SUMIFS($Q$2:$Q$205,$A$2:$A$205,$A205,$B$2:$B$205,$B205,$C$2:$C$205,100)))</f>
        <v>0</v>
      </c>
      <c r="AH205" s="3" t="n">
        <f aca="false">IF(ISBLANK(R205),"",ABS(R205-SUMIFS($R$2:$R$205,$A$2:$A$205,$A205,$B$2:$B$205,$B205,$C$2:$C$205,100)))</f>
        <v>0</v>
      </c>
      <c r="AI205" s="3" t="n">
        <f aca="false">IF(ISBLANK(S205),"",ABS(S205-SUMIFS($S$2:$S$205,$A$2:$A$205,$A205,$B$2:$B$205,$B205,$C$2:$C$205,100)))</f>
        <v>0</v>
      </c>
      <c r="AJ205" s="3" t="n">
        <f aca="false">MAX(V205:AI205)</f>
        <v>0</v>
      </c>
    </row>
    <row r="207" customFormat="false" ht="15" hidden="false" customHeight="false" outlineLevel="0" collapsed="false">
      <c r="A207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7" t="s">
        <v>47</v>
      </c>
    </row>
    <row r="2" customFormat="false" ht="15" hidden="false" customHeight="false" outlineLevel="0" collapsed="false">
      <c r="A2" s="6" t="s">
        <v>48</v>
      </c>
    </row>
    <row r="4" customFormat="false" ht="15" hidden="false" customHeight="false" outlineLevel="0" collapsed="false">
      <c r="A4" s="8" t="s">
        <v>49</v>
      </c>
    </row>
    <row r="5" customFormat="false" ht="15" hidden="false" customHeight="false" outlineLevel="0" collapsed="false">
      <c r="A5" s="1" t="s">
        <v>50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</row>
    <row r="6" customFormat="false" ht="15" hidden="false" customHeight="false" outlineLevel="0" collapsed="false">
      <c r="A6" s="9" t="n">
        <v>5</v>
      </c>
      <c r="B6" s="10" t="n">
        <f aca="false">IF(COUNTIFS('Raw Data'!$A$2:$A$205,"He",'Raw Data'!$B$2:$B$205,"Midpoint",'Raw Data'!$C$2:$C$205,5)=0,"",SUMIFS('Raw Data'!$T$2:$T$205,'Raw Data'!$A$2:$A$205,"He",'Raw Data'!$B$2:$B$205,"Midpoint",'Raw Data'!$C$2:$C$205,5))</f>
        <v>0.00280551152273167</v>
      </c>
      <c r="C6" s="10" t="n">
        <f aca="false">IF(COUNTIFS('Raw Data'!$A$2:$A$205,"He",'Raw Data'!$B$2:$B$205,"Trapezoidal",'Raw Data'!$C$2:$C$205,5)=0,"",SUMIFS('Raw Data'!$T$2:$T$205,'Raw Data'!$A$2:$A$205,"He",'Raw Data'!$B$2:$B$205,"Trapezoidal",'Raw Data'!$C$2:$C$205,5))</f>
        <v>28527.8320093801</v>
      </c>
      <c r="D6" s="10" t="n">
        <f aca="false">IF(COUNTIFS('Raw Data'!$A$2:$A$205,"He",'Raw Data'!$B$2:$B$205,"CC",'Raw Data'!$C$2:$C$205,5)=0,"",SUMIFS('Raw Data'!$T$2:$T$205,'Raw Data'!$A$2:$A$205,"He",'Raw Data'!$B$2:$B$205,"CC",'Raw Data'!$C$2:$C$205,5))</f>
        <v>0.000173886585340899</v>
      </c>
      <c r="E6" s="10" t="n">
        <f aca="false">IF(COUNTIFS('Raw Data'!$A$2:$A$205,"He",'Raw Data'!$B$2:$B$205,"GL",'Raw Data'!$C$2:$C$205,5)=0,"",SUMIFS('Raw Data'!$T$2:$T$205,'Raw Data'!$A$2:$A$205,"He",'Raw Data'!$B$2:$B$205,"GL",'Raw Data'!$C$2:$C$205,5))</f>
        <v>0.000433887838963809</v>
      </c>
      <c r="F6" s="10" t="n">
        <f aca="false">IF(COUNTIFS('Raw Data'!$A$2:$A$205,"He",'Raw Data'!$B$2:$B$205,"Algebraic",'Raw Data'!$C$2:$C$205,5)=0,"",SUMIFS('Raw Data'!$T$2:$T$205,'Raw Data'!$A$2:$A$205,"He",'Raw Data'!$B$2:$B$205,"Algebraic",'Raw Data'!$C$2:$C$205,5))</f>
        <v>0.000323553313470892</v>
      </c>
    </row>
    <row r="7" customFormat="false" ht="15" hidden="false" customHeight="false" outlineLevel="0" collapsed="false">
      <c r="A7" s="9" t="n">
        <v>10</v>
      </c>
      <c r="B7" s="10" t="n">
        <f aca="false">IF(COUNTIFS('Raw Data'!$A$2:$A$205,"He",'Raw Data'!$B$2:$B$205,"Midpoint",'Raw Data'!$C$2:$C$205,10)=0,"",SUMIFS('Raw Data'!$T$2:$T$205,'Raw Data'!$A$2:$A$205,"He",'Raw Data'!$B$2:$B$205,"Midpoint",'Raw Data'!$C$2:$C$205,10))</f>
        <v>0.000488945720935607</v>
      </c>
      <c r="C7" s="10" t="n">
        <f aca="false">IF(COUNTIFS('Raw Data'!$A$2:$A$205,"He",'Raw Data'!$B$2:$B$205,"Trapezoidal",'Raw Data'!$C$2:$C$205,10)=0,"",SUMIFS('Raw Data'!$T$2:$T$205,'Raw Data'!$A$2:$A$205,"He",'Raw Data'!$B$2:$B$205,"Trapezoidal",'Raw Data'!$C$2:$C$205,10))</f>
        <v>0.000880055944315838</v>
      </c>
      <c r="D7" s="10" t="n">
        <f aca="false">IF(COUNTIFS('Raw Data'!$A$2:$A$205,"He",'Raw Data'!$B$2:$B$205,"CC",'Raw Data'!$C$2:$C$205,10)=0,"",SUMIFS('Raw Data'!$T$2:$T$205,'Raw Data'!$A$2:$A$205,"He",'Raw Data'!$B$2:$B$205,"CC",'Raw Data'!$C$2:$C$205,10))</f>
        <v>0.000167122077137094</v>
      </c>
      <c r="E7" s="10" t="n">
        <f aca="false">IF(COUNTIFS('Raw Data'!$A$2:$A$205,"He",'Raw Data'!$B$2:$B$205,"GL",'Raw Data'!$C$2:$C$205,10)=0,"",SUMIFS('Raw Data'!$T$2:$T$205,'Raw Data'!$A$2:$A$205,"He",'Raw Data'!$B$2:$B$205,"GL",'Raw Data'!$C$2:$C$205,10))</f>
        <v>7.72079860720254E-005</v>
      </c>
      <c r="F7" s="10" t="n">
        <f aca="false">IF(COUNTIFS('Raw Data'!$A$2:$A$205,"He",'Raw Data'!$B$2:$B$205,"Algebraic",'Raw Data'!$C$2:$C$205,10)=0,"",SUMIFS('Raw Data'!$T$2:$T$205,'Raw Data'!$A$2:$A$205,"He",'Raw Data'!$B$2:$B$205,"Algebraic",'Raw Data'!$C$2:$C$205,10))</f>
        <v>2.64213484229003E-005</v>
      </c>
    </row>
    <row r="8" customFormat="false" ht="15" hidden="false" customHeight="false" outlineLevel="0" collapsed="false">
      <c r="A8" s="9" t="n">
        <v>15</v>
      </c>
      <c r="B8" s="10" t="n">
        <f aca="false">IF(COUNTIFS('Raw Data'!$A$2:$A$205,"He",'Raw Data'!$B$2:$B$205,"Midpoint",'Raw Data'!$C$2:$C$205,15)=0,"",SUMIFS('Raw Data'!$T$2:$T$205,'Raw Data'!$A$2:$A$205,"He",'Raw Data'!$B$2:$B$205,"Midpoint",'Raw Data'!$C$2:$C$205,15))</f>
        <v>0.000100774652903812</v>
      </c>
      <c r="C8" s="10" t="n">
        <f aca="false">IF(COUNTIFS('Raw Data'!$A$2:$A$205,"He",'Raw Data'!$B$2:$B$205,"Trapezoidal",'Raw Data'!$C$2:$C$205,15)=0,"",SUMIFS('Raw Data'!$T$2:$T$205,'Raw Data'!$A$2:$A$205,"He",'Raw Data'!$B$2:$B$205,"Trapezoidal",'Raw Data'!$C$2:$C$205,15))</f>
        <v>2.7280279924824E-005</v>
      </c>
      <c r="D8" s="10" t="n">
        <f aca="false">IF(COUNTIFS('Raw Data'!$A$2:$A$205,"He",'Raw Data'!$B$2:$B$205,"CC",'Raw Data'!$C$2:$C$205,15)=0,"",SUMIFS('Raw Data'!$T$2:$T$205,'Raw Data'!$A$2:$A$205,"He",'Raw Data'!$B$2:$B$205,"CC",'Raw Data'!$C$2:$C$205,15))</f>
        <v>3.50756322475831E-006</v>
      </c>
      <c r="E8" s="10" t="n">
        <f aca="false">IF(COUNTIFS('Raw Data'!$A$2:$A$205,"He",'Raw Data'!$B$2:$B$205,"GL",'Raw Data'!$C$2:$C$205,15)=0,"",SUMIFS('Raw Data'!$T$2:$T$205,'Raw Data'!$A$2:$A$205,"He",'Raw Data'!$B$2:$B$205,"GL",'Raw Data'!$C$2:$C$205,15))</f>
        <v>2.57072382048307E-007</v>
      </c>
      <c r="F8" s="10" t="n">
        <f aca="false">IF(COUNTIFS('Raw Data'!$A$2:$A$205,"He",'Raw Data'!$B$2:$B$205,"Algebraic",'Raw Data'!$C$2:$C$205,15)=0,"",SUMIFS('Raw Data'!$T$2:$T$205,'Raw Data'!$A$2:$A$205,"He",'Raw Data'!$B$2:$B$205,"Algebraic",'Raw Data'!$C$2:$C$205,15))</f>
        <v>2.67974578482821E-006</v>
      </c>
    </row>
    <row r="9" customFormat="false" ht="15" hidden="false" customHeight="false" outlineLevel="0" collapsed="false">
      <c r="A9" s="9" t="n">
        <v>20</v>
      </c>
      <c r="B9" s="10" t="n">
        <f aca="false">IF(COUNTIFS('Raw Data'!$A$2:$A$205,"He",'Raw Data'!$B$2:$B$205,"Midpoint",'Raw Data'!$C$2:$C$205,20)=0,"",SUMIFS('Raw Data'!$T$2:$T$205,'Raw Data'!$A$2:$A$205,"He",'Raw Data'!$B$2:$B$205,"Midpoint",'Raw Data'!$C$2:$C$205,20))</f>
        <v>8.32211535684024E-006</v>
      </c>
      <c r="C9" s="10" t="n">
        <f aca="false">IF(COUNTIFS('Raw Data'!$A$2:$A$205,"He",'Raw Data'!$B$2:$B$205,"Trapezoidal",'Raw Data'!$C$2:$C$205,20)=0,"",SUMIFS('Raw Data'!$T$2:$T$205,'Raw Data'!$A$2:$A$205,"He",'Raw Data'!$B$2:$B$205,"Trapezoidal",'Raw Data'!$C$2:$C$205,20))</f>
        <v>2.3026183439967E-006</v>
      </c>
      <c r="D9" s="10" t="n">
        <f aca="false">IF(COUNTIFS('Raw Data'!$A$2:$A$205,"He",'Raw Data'!$B$2:$B$205,"CC",'Raw Data'!$C$2:$C$205,20)=0,"",SUMIFS('Raw Data'!$T$2:$T$205,'Raw Data'!$A$2:$A$205,"He",'Raw Data'!$B$2:$B$205,"CC",'Raw Data'!$C$2:$C$205,20))</f>
        <v>5.56075470115047E-008</v>
      </c>
      <c r="E9" s="10" t="n">
        <f aca="false">IF(COUNTIFS('Raw Data'!$A$2:$A$205,"He",'Raw Data'!$B$2:$B$205,"GL",'Raw Data'!$C$2:$C$205,20)=0,"",SUMIFS('Raw Data'!$T$2:$T$205,'Raw Data'!$A$2:$A$205,"He",'Raw Data'!$B$2:$B$205,"GL",'Raw Data'!$C$2:$C$205,20))</f>
        <v>2.62290411612298E-009</v>
      </c>
      <c r="F9" s="10" t="n">
        <f aca="false">IF(COUNTIFS('Raw Data'!$A$2:$A$205,"He",'Raw Data'!$B$2:$B$205,"Algebraic",'Raw Data'!$C$2:$C$205,20)=0,"",SUMIFS('Raw Data'!$T$2:$T$205,'Raw Data'!$A$2:$A$205,"He",'Raw Data'!$B$2:$B$205,"Algebraic",'Raw Data'!$C$2:$C$205,20))</f>
        <v>5.40550226801884E-009</v>
      </c>
    </row>
    <row r="10" customFormat="false" ht="15" hidden="false" customHeight="false" outlineLevel="0" collapsed="false">
      <c r="A10" s="9" t="n">
        <v>30</v>
      </c>
      <c r="B10" s="10" t="n">
        <f aca="false">IF(COUNTIFS('Raw Data'!$A$2:$A$205,"He",'Raw Data'!$B$2:$B$205,"Midpoint",'Raw Data'!$C$2:$C$205,30)=0,"",SUMIFS('Raw Data'!$T$2:$T$205,'Raw Data'!$A$2:$A$205,"He",'Raw Data'!$B$2:$B$205,"Midpoint",'Raw Data'!$C$2:$C$205,30))</f>
        <v>3.42502017858237E-008</v>
      </c>
      <c r="C10" s="10" t="n">
        <f aca="false">IF(COUNTIFS('Raw Data'!$A$2:$A$205,"He",'Raw Data'!$B$2:$B$205,"Trapezoidal",'Raw Data'!$C$2:$C$205,30)=0,"",SUMIFS('Raw Data'!$T$2:$T$205,'Raw Data'!$A$2:$A$205,"He",'Raw Data'!$B$2:$B$205,"Trapezoidal",'Raw Data'!$C$2:$C$205,30))</f>
        <v>1.56876689416663E-009</v>
      </c>
      <c r="D10" s="10" t="n">
        <f aca="false">IF(COUNTIFS('Raw Data'!$A$2:$A$205,"He",'Raw Data'!$B$2:$B$205,"CC",'Raw Data'!$C$2:$C$205,30)=0,"",SUMIFS('Raw Data'!$T$2:$T$205,'Raw Data'!$A$2:$A$205,"He",'Raw Data'!$B$2:$B$205,"CC",'Raw Data'!$C$2:$C$205,30))</f>
        <v>2.94283264423711E-010</v>
      </c>
      <c r="E10" s="10" t="n">
        <f aca="false">IF(COUNTIFS('Raw Data'!$A$2:$A$205,"He",'Raw Data'!$B$2:$B$205,"GL",'Raw Data'!$C$2:$C$205,30)=0,"",SUMIFS('Raw Data'!$T$2:$T$205,'Raw Data'!$A$2:$A$205,"He",'Raw Data'!$B$2:$B$205,"GL",'Raw Data'!$C$2:$C$205,30))</f>
        <v>5.82600634402297E-012</v>
      </c>
      <c r="F10" s="10" t="n">
        <f aca="false">IF(COUNTIFS('Raw Data'!$A$2:$A$205,"He",'Raw Data'!$B$2:$B$205,"Algebraic",'Raw Data'!$C$2:$C$205,30)=0,"",SUMIFS('Raw Data'!$T$2:$T$205,'Raw Data'!$A$2:$A$205,"He",'Raw Data'!$B$2:$B$205,"Algebraic",'Raw Data'!$C$2:$C$205,30))</f>
        <v>1.98190102107532E-007</v>
      </c>
    </row>
    <row r="11" customFormat="false" ht="15" hidden="false" customHeight="false" outlineLevel="0" collapsed="false">
      <c r="A11" s="9" t="n">
        <v>50</v>
      </c>
      <c r="B11" s="10" t="n">
        <f aca="false">IF(COUNTIFS('Raw Data'!$A$2:$A$205,"He",'Raw Data'!$B$2:$B$205,"Midpoint",'Raw Data'!$C$2:$C$205,50)=0,"",SUMIFS('Raw Data'!$T$2:$T$205,'Raw Data'!$A$2:$A$205,"He",'Raw Data'!$B$2:$B$205,"Midpoint",'Raw Data'!$C$2:$C$205,50))</f>
        <v>8.00692845359663E-013</v>
      </c>
      <c r="C11" s="10" t="n">
        <f aca="false">IF(COUNTIFS('Raw Data'!$A$2:$A$205,"He",'Raw Data'!$B$2:$B$205,"Trapezoidal",'Raw Data'!$C$2:$C$205,50)=0,"",SUMIFS('Raw Data'!$T$2:$T$205,'Raw Data'!$A$2:$A$205,"He",'Raw Data'!$B$2:$B$205,"Trapezoidal",'Raw Data'!$C$2:$C$205,50))</f>
        <v>1.36601840949879E-012</v>
      </c>
      <c r="D11" s="10" t="n">
        <f aca="false">IF(COUNTIFS('Raw Data'!$A$2:$A$205,"He",'Raw Data'!$B$2:$B$205,"CC",'Raw Data'!$C$2:$C$205,50)=0,"",SUMIFS('Raw Data'!$T$2:$T$205,'Raw Data'!$A$2:$A$205,"He",'Raw Data'!$B$2:$B$205,"CC",'Raw Data'!$C$2:$C$205,50))</f>
        <v>3.19744231092045E-014</v>
      </c>
      <c r="E11" s="10" t="n">
        <f aca="false">IF(COUNTIFS('Raw Data'!$A$2:$A$205,"He",'Raw Data'!$B$2:$B$205,"GL",'Raw Data'!$C$2:$C$205,50)=0,"",SUMIFS('Raw Data'!$T$2:$T$205,'Raw Data'!$A$2:$A$205,"He",'Raw Data'!$B$2:$B$205,"GL",'Raw Data'!$C$2:$C$205,50))</f>
        <v>3.19744231092045E-014</v>
      </c>
      <c r="F11" s="10" t="n">
        <f aca="false">IF(COUNTIFS('Raw Data'!$A$2:$A$205,"He",'Raw Data'!$B$2:$B$205,"Algebraic",'Raw Data'!$C$2:$C$205,50)=0,"",SUMIFS('Raw Data'!$T$2:$T$205,'Raw Data'!$A$2:$A$205,"He",'Raw Data'!$B$2:$B$205,"Algebraic",'Raw Data'!$C$2:$C$205,50))</f>
        <v>3.53641511630087E-008</v>
      </c>
    </row>
    <row r="14" customFormat="false" ht="15" hidden="false" customHeight="false" outlineLevel="0" collapsed="false">
      <c r="A14" s="8" t="s">
        <v>51</v>
      </c>
    </row>
    <row r="15" customFormat="false" ht="15" hidden="false" customHeight="false" outlineLevel="0" collapsed="false">
      <c r="A15" s="1" t="s">
        <v>50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</row>
    <row r="16" customFormat="false" ht="15" hidden="false" customHeight="false" outlineLevel="0" collapsed="false">
      <c r="A16" s="9" t="n">
        <v>5</v>
      </c>
      <c r="B16" s="10" t="n">
        <f aca="false">IF(COUNTIFS('Raw Data'!$A$2:$A$205,"He",'Raw Data'!$B$2:$B$205,"Midpoint",'Raw Data'!$C$2:$C$205,5)=0,"",SUMIFS('Raw Data'!$U$2:$U$205,'Raw Data'!$A$2:$A$205,"He",'Raw Data'!$B$2:$B$205,"Midpoint",'Raw Data'!$C$2:$C$205,5))</f>
        <v>0.00174980490485278</v>
      </c>
      <c r="C16" s="10" t="n">
        <f aca="false">IF(COUNTIFS('Raw Data'!$A$2:$A$205,"He",'Raw Data'!$B$2:$B$205,"Trapezoidal",'Raw Data'!$C$2:$C$205,5)=0,"",SUMIFS('Raw Data'!$U$2:$U$205,'Raw Data'!$A$2:$A$205,"He",'Raw Data'!$B$2:$B$205,"Trapezoidal",'Raw Data'!$C$2:$C$205,5))</f>
        <v>0.336188273613974</v>
      </c>
      <c r="D16" s="10" t="n">
        <f aca="false">IF(COUNTIFS('Raw Data'!$A$2:$A$205,"He",'Raw Data'!$B$2:$B$205,"CC",'Raw Data'!$C$2:$C$205,5)=0,"",SUMIFS('Raw Data'!$U$2:$U$205,'Raw Data'!$A$2:$A$205,"He",'Raw Data'!$B$2:$B$205,"CC",'Raw Data'!$C$2:$C$205,5))</f>
        <v>0.000377708273451211</v>
      </c>
      <c r="E16" s="10" t="n">
        <f aca="false">IF(COUNTIFS('Raw Data'!$A$2:$A$205,"He",'Raw Data'!$B$2:$B$205,"GL",'Raw Data'!$C$2:$C$205,5)=0,"",SUMIFS('Raw Data'!$U$2:$U$205,'Raw Data'!$A$2:$A$205,"He",'Raw Data'!$B$2:$B$205,"GL",'Raw Data'!$C$2:$C$205,5))</f>
        <v>0.000618913379234101</v>
      </c>
      <c r="F16" s="10" t="n">
        <f aca="false">IF(COUNTIFS('Raw Data'!$A$2:$A$205,"He",'Raw Data'!$B$2:$B$205,"Algebraic",'Raw Data'!$C$2:$C$205,5)=0,"",SUMIFS('Raw Data'!$U$2:$U$205,'Raw Data'!$A$2:$A$205,"He",'Raw Data'!$B$2:$B$205,"Algebraic",'Raw Data'!$C$2:$C$205,5))</f>
        <v>0.00032425245187552</v>
      </c>
    </row>
    <row r="17" customFormat="false" ht="15" hidden="false" customHeight="false" outlineLevel="0" collapsed="false">
      <c r="A17" s="9" t="n">
        <v>10</v>
      </c>
      <c r="B17" s="10" t="n">
        <f aca="false">IF(COUNTIFS('Raw Data'!$A$2:$A$205,"He",'Raw Data'!$B$2:$B$205,"Midpoint",'Raw Data'!$C$2:$C$205,10)=0,"",SUMIFS('Raw Data'!$U$2:$U$205,'Raw Data'!$A$2:$A$205,"He",'Raw Data'!$B$2:$B$205,"Midpoint",'Raw Data'!$C$2:$C$205,10))</f>
        <v>0.000422010186694743</v>
      </c>
      <c r="C17" s="10" t="n">
        <f aca="false">IF(COUNTIFS('Raw Data'!$A$2:$A$205,"He",'Raw Data'!$B$2:$B$205,"Trapezoidal",'Raw Data'!$C$2:$C$205,10)=0,"",SUMIFS('Raw Data'!$U$2:$U$205,'Raw Data'!$A$2:$A$205,"He",'Raw Data'!$B$2:$B$205,"Trapezoidal",'Raw Data'!$C$2:$C$205,10))</f>
        <v>0.000794815014843589</v>
      </c>
      <c r="D17" s="10" t="n">
        <f aca="false">IF(COUNTIFS('Raw Data'!$A$2:$A$205,"He",'Raw Data'!$B$2:$B$205,"CC",'Raw Data'!$C$2:$C$205,10)=0,"",SUMIFS('Raw Data'!$U$2:$U$205,'Raw Data'!$A$2:$A$205,"He",'Raw Data'!$B$2:$B$205,"CC",'Raw Data'!$C$2:$C$205,10))</f>
        <v>0.000226468175227895</v>
      </c>
      <c r="E17" s="10" t="n">
        <f aca="false">IF(COUNTIFS('Raw Data'!$A$2:$A$205,"He",'Raw Data'!$B$2:$B$205,"GL",'Raw Data'!$C$2:$C$205,10)=0,"",SUMIFS('Raw Data'!$U$2:$U$205,'Raw Data'!$A$2:$A$205,"He",'Raw Data'!$B$2:$B$205,"GL",'Raw Data'!$C$2:$C$205,10))</f>
        <v>8.16626420848815E-005</v>
      </c>
      <c r="F17" s="10" t="n">
        <f aca="false">IF(COUNTIFS('Raw Data'!$A$2:$A$205,"He",'Raw Data'!$B$2:$B$205,"Algebraic",'Raw Data'!$C$2:$C$205,10)=0,"",SUMIFS('Raw Data'!$U$2:$U$205,'Raw Data'!$A$2:$A$205,"He",'Raw Data'!$B$2:$B$205,"Algebraic",'Raw Data'!$C$2:$C$205,10))</f>
        <v>2.69390121452606E-005</v>
      </c>
    </row>
    <row r="18" customFormat="false" ht="15" hidden="false" customHeight="false" outlineLevel="0" collapsed="false">
      <c r="A18" s="9" t="n">
        <v>15</v>
      </c>
      <c r="B18" s="10" t="n">
        <f aca="false">IF(COUNTIFS('Raw Data'!$A$2:$A$205,"He",'Raw Data'!$B$2:$B$205,"Midpoint",'Raw Data'!$C$2:$C$205,15)=0,"",SUMIFS('Raw Data'!$U$2:$U$205,'Raw Data'!$A$2:$A$205,"He",'Raw Data'!$B$2:$B$205,"Midpoint",'Raw Data'!$C$2:$C$205,15))</f>
        <v>0.000108000401244104</v>
      </c>
      <c r="C18" s="10" t="n">
        <f aca="false">IF(COUNTIFS('Raw Data'!$A$2:$A$205,"He",'Raw Data'!$B$2:$B$205,"Trapezoidal",'Raw Data'!$C$2:$C$205,15)=0,"",SUMIFS('Raw Data'!$U$2:$U$205,'Raw Data'!$A$2:$A$205,"He",'Raw Data'!$B$2:$B$205,"Trapezoidal",'Raw Data'!$C$2:$C$205,15))</f>
        <v>2.13771961539849E-005</v>
      </c>
      <c r="D18" s="10" t="n">
        <f aca="false">IF(COUNTIFS('Raw Data'!$A$2:$A$205,"He",'Raw Data'!$B$2:$B$205,"CC",'Raw Data'!$C$2:$C$205,15)=0,"",SUMIFS('Raw Data'!$U$2:$U$205,'Raw Data'!$A$2:$A$205,"He",'Raw Data'!$B$2:$B$205,"CC",'Raw Data'!$C$2:$C$205,15))</f>
        <v>3.0830409855076E-006</v>
      </c>
      <c r="E18" s="10" t="n">
        <f aca="false">IF(COUNTIFS('Raw Data'!$A$2:$A$205,"He",'Raw Data'!$B$2:$B$205,"GL",'Raw Data'!$C$2:$C$205,15)=0,"",SUMIFS('Raw Data'!$U$2:$U$205,'Raw Data'!$A$2:$A$205,"He",'Raw Data'!$B$2:$B$205,"GL",'Raw Data'!$C$2:$C$205,15))</f>
        <v>6.69925556001649E-008</v>
      </c>
      <c r="F18" s="10" t="n">
        <f aca="false">IF(COUNTIFS('Raw Data'!$A$2:$A$205,"He",'Raw Data'!$B$2:$B$205,"Algebraic",'Raw Data'!$C$2:$C$205,15)=0,"",SUMIFS('Raw Data'!$U$2:$U$205,'Raw Data'!$A$2:$A$205,"He",'Raw Data'!$B$2:$B$205,"Algebraic",'Raw Data'!$C$2:$C$205,15))</f>
        <v>2.79948133213859E-006</v>
      </c>
    </row>
    <row r="19" customFormat="false" ht="15" hidden="false" customHeight="false" outlineLevel="0" collapsed="false">
      <c r="A19" s="9" t="n">
        <v>20</v>
      </c>
      <c r="B19" s="10" t="n">
        <f aca="false">IF(COUNTIFS('Raw Data'!$A$2:$A$205,"He",'Raw Data'!$B$2:$B$205,"Midpoint",'Raw Data'!$C$2:$C$205,20)=0,"",SUMIFS('Raw Data'!$U$2:$U$205,'Raw Data'!$A$2:$A$205,"He",'Raw Data'!$B$2:$B$205,"Midpoint",'Raw Data'!$C$2:$C$205,20))</f>
        <v>1.10121912755001E-005</v>
      </c>
      <c r="C19" s="10" t="n">
        <f aca="false">IF(COUNTIFS('Raw Data'!$A$2:$A$205,"He",'Raw Data'!$B$2:$B$205,"Trapezoidal",'Raw Data'!$C$2:$C$205,20)=0,"",SUMIFS('Raw Data'!$U$2:$U$205,'Raw Data'!$A$2:$A$205,"He",'Raw Data'!$B$2:$B$205,"Trapezoidal",'Raw Data'!$C$2:$C$205,20))</f>
        <v>1.31937778835578E-006</v>
      </c>
      <c r="D19" s="10" t="n">
        <f aca="false">IF(COUNTIFS('Raw Data'!$A$2:$A$205,"He",'Raw Data'!$B$2:$B$205,"CC",'Raw Data'!$C$2:$C$205,20)=0,"",SUMIFS('Raw Data'!$U$2:$U$205,'Raw Data'!$A$2:$A$205,"He",'Raw Data'!$B$2:$B$205,"CC",'Raw Data'!$C$2:$C$205,20))</f>
        <v>3.480525236077E-008</v>
      </c>
      <c r="E19" s="10" t="n">
        <f aca="false">IF(COUNTIFS('Raw Data'!$A$2:$A$205,"He",'Raw Data'!$B$2:$B$205,"GL",'Raw Data'!$C$2:$C$205,20)=0,"",SUMIFS('Raw Data'!$U$2:$U$205,'Raw Data'!$A$2:$A$205,"He",'Raw Data'!$B$2:$B$205,"GL",'Raw Data'!$C$2:$C$205,20))</f>
        <v>8.2512247173705E-009</v>
      </c>
      <c r="F19" s="10" t="n">
        <f aca="false">IF(COUNTIFS('Raw Data'!$A$2:$A$205,"He",'Raw Data'!$B$2:$B$205,"Algebraic",'Raw Data'!$C$2:$C$205,20)=0,"",SUMIFS('Raw Data'!$U$2:$U$205,'Raw Data'!$A$2:$A$205,"He",'Raw Data'!$B$2:$B$205,"Algebraic",'Raw Data'!$C$2:$C$205,20))</f>
        <v>2.10322224220016E-008</v>
      </c>
    </row>
    <row r="20" customFormat="false" ht="15" hidden="false" customHeight="false" outlineLevel="0" collapsed="false">
      <c r="A20" s="9" t="n">
        <v>30</v>
      </c>
      <c r="B20" s="10" t="n">
        <f aca="false">IF(COUNTIFS('Raw Data'!$A$2:$A$205,"He",'Raw Data'!$B$2:$B$205,"Midpoint",'Raw Data'!$C$2:$C$205,30)=0,"",SUMIFS('Raw Data'!$U$2:$U$205,'Raw Data'!$A$2:$A$205,"He",'Raw Data'!$B$2:$B$205,"Midpoint",'Raw Data'!$C$2:$C$205,30))</f>
        <v>7.81724442122656E-008</v>
      </c>
      <c r="C20" s="10" t="n">
        <f aca="false">IF(COUNTIFS('Raw Data'!$A$2:$A$205,"He",'Raw Data'!$B$2:$B$205,"Trapezoidal",'Raw Data'!$C$2:$C$205,30)=0,"",SUMIFS('Raw Data'!$U$2:$U$205,'Raw Data'!$A$2:$A$205,"He",'Raw Data'!$B$2:$B$205,"Trapezoidal",'Raw Data'!$C$2:$C$205,30))</f>
        <v>3.30488071215163E-008</v>
      </c>
      <c r="D20" s="10" t="n">
        <f aca="false">IF(COUNTIFS('Raw Data'!$A$2:$A$205,"He",'Raw Data'!$B$2:$B$205,"CC",'Raw Data'!$C$2:$C$205,30)=0,"",SUMIFS('Raw Data'!$U$2:$U$205,'Raw Data'!$A$2:$A$205,"He",'Raw Data'!$B$2:$B$205,"CC",'Raw Data'!$C$2:$C$205,30))</f>
        <v>2.8944444063761E-010</v>
      </c>
      <c r="E20" s="10" t="n">
        <f aca="false">IF(COUNTIFS('Raw Data'!$A$2:$A$205,"He",'Raw Data'!$B$2:$B$205,"GL",'Raw Data'!$C$2:$C$205,30)=0,"",SUMIFS('Raw Data'!$U$2:$U$205,'Raw Data'!$A$2:$A$205,"He",'Raw Data'!$B$2:$B$205,"GL",'Raw Data'!$C$2:$C$205,30))</f>
        <v>1.14877690693405E-011</v>
      </c>
      <c r="F20" s="10" t="n">
        <f aca="false">IF(COUNTIFS('Raw Data'!$A$2:$A$205,"He",'Raw Data'!$B$2:$B$205,"Algebraic",'Raw Data'!$C$2:$C$205,30)=0,"",SUMIFS('Raw Data'!$U$2:$U$205,'Raw Data'!$A$2:$A$205,"He",'Raw Data'!$B$2:$B$205,"Algebraic",'Raw Data'!$C$2:$C$205,30))</f>
        <v>1.98049807373368E-007</v>
      </c>
    </row>
    <row r="21" customFormat="false" ht="15" hidden="false" customHeight="false" outlineLevel="0" collapsed="false">
      <c r="A21" s="9" t="n">
        <v>50</v>
      </c>
      <c r="B21" s="10" t="n">
        <f aca="false">IF(COUNTIFS('Raw Data'!$A$2:$A$205,"He",'Raw Data'!$B$2:$B$205,"Midpoint",'Raw Data'!$C$2:$C$205,50)=0,"",SUMIFS('Raw Data'!$U$2:$U$205,'Raw Data'!$A$2:$A$205,"He",'Raw Data'!$B$2:$B$205,"Midpoint",'Raw Data'!$C$2:$C$205,50))</f>
        <v>3.84241249928863E-012</v>
      </c>
      <c r="C21" s="10" t="n">
        <f aca="false">IF(COUNTIFS('Raw Data'!$A$2:$A$205,"He",'Raw Data'!$B$2:$B$205,"Trapezoidal",'Raw Data'!$C$2:$C$205,50)=0,"",SUMIFS('Raw Data'!$U$2:$U$205,'Raw Data'!$A$2:$A$205,"He",'Raw Data'!$B$2:$B$205,"Trapezoidal",'Raw Data'!$C$2:$C$205,50))</f>
        <v>6.18005646657593E-012</v>
      </c>
      <c r="D21" s="10" t="n">
        <f aca="false">IF(COUNTIFS('Raw Data'!$A$2:$A$205,"He",'Raw Data'!$B$2:$B$205,"CC",'Raw Data'!$C$2:$C$205,50)=0,"",SUMIFS('Raw Data'!$U$2:$U$205,'Raw Data'!$A$2:$A$205,"He",'Raw Data'!$B$2:$B$205,"CC",'Raw Data'!$C$2:$C$205,50))</f>
        <v>3.85108611666851E-014</v>
      </c>
      <c r="E21" s="10" t="n">
        <f aca="false">IF(COUNTIFS('Raw Data'!$A$2:$A$205,"He",'Raw Data'!$B$2:$B$205,"GL",'Raw Data'!$C$2:$C$205,50)=0,"",SUMIFS('Raw Data'!$U$2:$U$205,'Raw Data'!$A$2:$A$205,"He",'Raw Data'!$B$2:$B$205,"GL",'Raw Data'!$C$2:$C$205,50))</f>
        <v>1.6903145549918E-014</v>
      </c>
      <c r="F21" s="10" t="n">
        <f aca="false">IF(COUNTIFS('Raw Data'!$A$2:$A$205,"He",'Raw Data'!$B$2:$B$205,"Algebraic",'Raw Data'!$C$2:$C$205,50)=0,"",SUMIFS('Raw Data'!$U$2:$U$205,'Raw Data'!$A$2:$A$205,"He",'Raw Data'!$B$2:$B$205,"Algebraic",'Raw Data'!$C$2:$C$205,50))</f>
        <v>3.58218258389442E-008</v>
      </c>
    </row>
    <row r="24" customFormat="false" ht="15" hidden="false" customHeight="false" outlineLevel="0" collapsed="false">
      <c r="A24" s="8" t="s">
        <v>52</v>
      </c>
    </row>
    <row r="25" customFormat="false" ht="15" hidden="false" customHeight="false" outlineLevel="0" collapsed="false">
      <c r="A25" s="1" t="s">
        <v>50</v>
      </c>
      <c r="B25" s="1" t="s">
        <v>37</v>
      </c>
      <c r="C25" s="1" t="s">
        <v>38</v>
      </c>
      <c r="D25" s="1" t="s">
        <v>39</v>
      </c>
      <c r="E25" s="1" t="s">
        <v>40</v>
      </c>
      <c r="F25" s="1" t="s">
        <v>41</v>
      </c>
    </row>
    <row r="26" customFormat="false" ht="15" hidden="false" customHeight="false" outlineLevel="0" collapsed="false">
      <c r="A26" s="9" t="n">
        <v>5</v>
      </c>
      <c r="B26" s="10" t="n">
        <f aca="false">IF(COUNTIFS('Raw Data'!$A$2:$A$205,"He",'Raw Data'!$B$2:$B$205,"Midpoint",'Raw Data'!$C$2:$C$205,5)=0,"",SUMIFS('Raw Data'!$AJ$2:$AJ$205,'Raw Data'!$A$2:$A$205,"He",'Raw Data'!$B$2:$B$205,"Midpoint",'Raw Data'!$C$2:$C$205,5))</f>
        <v>0.0833533348922004</v>
      </c>
      <c r="C26" s="10" t="n">
        <f aca="false">IF(COUNTIFS('Raw Data'!$A$2:$A$205,"He",'Raw Data'!$B$2:$B$205,"Trapezoidal",'Raw Data'!$C$2:$C$205,5)=0,"",SUMIFS('Raw Data'!$AJ$2:$AJ$205,'Raw Data'!$A$2:$A$205,"He",'Raw Data'!$B$2:$B$205,"Trapezoidal",'Raw Data'!$C$2:$C$205,5))</f>
        <v>20668795489831.7</v>
      </c>
      <c r="D26" s="10" t="n">
        <f aca="false">IF(COUNTIFS('Raw Data'!$A$2:$A$205,"He",'Raw Data'!$B$2:$B$205,"CC",'Raw Data'!$C$2:$C$205,5)=0,"",SUMIFS('Raw Data'!$AJ$2:$AJ$205,'Raw Data'!$A$2:$A$205,"He",'Raw Data'!$B$2:$B$205,"CC",'Raw Data'!$C$2:$C$205,5))</f>
        <v>0.244080819696994</v>
      </c>
      <c r="E26" s="10" t="n">
        <f aca="false">IF(COUNTIFS('Raw Data'!$A$2:$A$205,"He",'Raw Data'!$B$2:$B$205,"GL",'Raw Data'!$C$2:$C$205,5)=0,"",SUMIFS('Raw Data'!$AJ$2:$AJ$205,'Raw Data'!$A$2:$A$205,"He",'Raw Data'!$B$2:$B$205,"GL",'Raw Data'!$C$2:$C$205,5))</f>
        <v>0.100368353463912</v>
      </c>
      <c r="F26" s="10" t="n">
        <f aca="false">IF(COUNTIFS('Raw Data'!$A$2:$A$205,"He",'Raw Data'!$B$2:$B$205,"Algebraic",'Raw Data'!$C$2:$C$205,5)=0,"",SUMIFS('Raw Data'!$AJ$2:$AJ$205,'Raw Data'!$A$2:$A$205,"He",'Raw Data'!$B$2:$B$205,"Algebraic",'Raw Data'!$C$2:$C$205,5))</f>
        <v>0.0332077919566758</v>
      </c>
    </row>
    <row r="27" customFormat="false" ht="15" hidden="false" customHeight="false" outlineLevel="0" collapsed="false">
      <c r="A27" s="9" t="n">
        <v>10</v>
      </c>
      <c r="B27" s="10" t="n">
        <f aca="false">IF(COUNTIFS('Raw Data'!$A$2:$A$205,"He",'Raw Data'!$B$2:$B$205,"Midpoint",'Raw Data'!$C$2:$C$205,10)=0,"",SUMIFS('Raw Data'!$AJ$2:$AJ$205,'Raw Data'!$A$2:$A$205,"He",'Raw Data'!$B$2:$B$205,"Midpoint",'Raw Data'!$C$2:$C$205,10))</f>
        <v>0.0989814586348413</v>
      </c>
      <c r="C27" s="10" t="n">
        <f aca="false">IF(COUNTIFS('Raw Data'!$A$2:$A$205,"He",'Raw Data'!$B$2:$B$205,"Trapezoidal",'Raw Data'!$C$2:$C$205,10)=0,"",SUMIFS('Raw Data'!$AJ$2:$AJ$205,'Raw Data'!$A$2:$A$205,"He",'Raw Data'!$B$2:$B$205,"Trapezoidal",'Raw Data'!$C$2:$C$205,10))</f>
        <v>0.390978822408973</v>
      </c>
      <c r="D27" s="10" t="n">
        <f aca="false">IF(COUNTIFS('Raw Data'!$A$2:$A$205,"He",'Raw Data'!$B$2:$B$205,"CC",'Raw Data'!$C$2:$C$205,10)=0,"",SUMIFS('Raw Data'!$AJ$2:$AJ$205,'Raw Data'!$A$2:$A$205,"He",'Raw Data'!$B$2:$B$205,"CC",'Raw Data'!$C$2:$C$205,10))</f>
        <v>0.0470175727477007</v>
      </c>
      <c r="E27" s="10" t="n">
        <f aca="false">IF(COUNTIFS('Raw Data'!$A$2:$A$205,"He",'Raw Data'!$B$2:$B$205,"GL",'Raw Data'!$C$2:$C$205,10)=0,"",SUMIFS('Raw Data'!$AJ$2:$AJ$205,'Raw Data'!$A$2:$A$205,"He",'Raw Data'!$B$2:$B$205,"GL",'Raw Data'!$C$2:$C$205,10))</f>
        <v>0.00381359122237601</v>
      </c>
      <c r="F27" s="10" t="n">
        <f aca="false">IF(COUNTIFS('Raw Data'!$A$2:$A$205,"He",'Raw Data'!$B$2:$B$205,"Algebraic",'Raw Data'!$C$2:$C$205,10)=0,"",SUMIFS('Raw Data'!$AJ$2:$AJ$205,'Raw Data'!$A$2:$A$205,"He",'Raw Data'!$B$2:$B$205,"Algebraic",'Raw Data'!$C$2:$C$205,10))</f>
        <v>0.00185472958326094</v>
      </c>
    </row>
    <row r="28" customFormat="false" ht="15" hidden="false" customHeight="false" outlineLevel="0" collapsed="false">
      <c r="A28" s="9" t="n">
        <v>15</v>
      </c>
      <c r="B28" s="10" t="n">
        <f aca="false">IF(COUNTIFS('Raw Data'!$A$2:$A$205,"He",'Raw Data'!$B$2:$B$205,"Midpoint",'Raw Data'!$C$2:$C$205,15)=0,"",SUMIFS('Raw Data'!$AJ$2:$AJ$205,'Raw Data'!$A$2:$A$205,"He",'Raw Data'!$B$2:$B$205,"Midpoint",'Raw Data'!$C$2:$C$205,15))</f>
        <v>0.0837530920362177</v>
      </c>
      <c r="C28" s="10" t="n">
        <f aca="false">IF(COUNTIFS('Raw Data'!$A$2:$A$205,"He",'Raw Data'!$B$2:$B$205,"Trapezoidal",'Raw Data'!$C$2:$C$205,15)=0,"",SUMIFS('Raw Data'!$AJ$2:$AJ$205,'Raw Data'!$A$2:$A$205,"He",'Raw Data'!$B$2:$B$205,"Trapezoidal",'Raw Data'!$C$2:$C$205,15))</f>
        <v>0.256706791745448</v>
      </c>
      <c r="D28" s="10" t="n">
        <f aca="false">IF(COUNTIFS('Raw Data'!$A$2:$A$205,"He",'Raw Data'!$B$2:$B$205,"CC",'Raw Data'!$C$2:$C$205,15)=0,"",SUMIFS('Raw Data'!$AJ$2:$AJ$205,'Raw Data'!$A$2:$A$205,"He",'Raw Data'!$B$2:$B$205,"CC",'Raw Data'!$C$2:$C$205,15))</f>
        <v>0.00586203749803604</v>
      </c>
      <c r="E28" s="10" t="n">
        <f aca="false">IF(COUNTIFS('Raw Data'!$A$2:$A$205,"He",'Raw Data'!$B$2:$B$205,"GL",'Raw Data'!$C$2:$C$205,15)=0,"",SUMIFS('Raw Data'!$AJ$2:$AJ$205,'Raw Data'!$A$2:$A$205,"He",'Raw Data'!$B$2:$B$205,"GL",'Raw Data'!$C$2:$C$205,15))</f>
        <v>0.030104981563271</v>
      </c>
      <c r="F28" s="10" t="n">
        <f aca="false">IF(COUNTIFS('Raw Data'!$A$2:$A$205,"He",'Raw Data'!$B$2:$B$205,"Algebraic",'Raw Data'!$C$2:$C$205,15)=0,"",SUMIFS('Raw Data'!$AJ$2:$AJ$205,'Raw Data'!$A$2:$A$205,"He",'Raw Data'!$B$2:$B$205,"Algebraic",'Raw Data'!$C$2:$C$205,15))</f>
        <v>2.57907975733662E-005</v>
      </c>
    </row>
    <row r="29" customFormat="false" ht="15" hidden="false" customHeight="false" outlineLevel="0" collapsed="false">
      <c r="A29" s="9" t="n">
        <v>20</v>
      </c>
      <c r="B29" s="10" t="n">
        <f aca="false">IF(COUNTIFS('Raw Data'!$A$2:$A$205,"He",'Raw Data'!$B$2:$B$205,"Midpoint",'Raw Data'!$C$2:$C$205,20)=0,"",SUMIFS('Raw Data'!$AJ$2:$AJ$205,'Raw Data'!$A$2:$A$205,"He",'Raw Data'!$B$2:$B$205,"Midpoint",'Raw Data'!$C$2:$C$205,20))</f>
        <v>0.154786417621629</v>
      </c>
      <c r="C29" s="10" t="n">
        <f aca="false">IF(COUNTIFS('Raw Data'!$A$2:$A$205,"He",'Raw Data'!$B$2:$B$205,"Trapezoidal",'Raw Data'!$C$2:$C$205,20)=0,"",SUMIFS('Raw Data'!$AJ$2:$AJ$205,'Raw Data'!$A$2:$A$205,"He",'Raw Data'!$B$2:$B$205,"Trapezoidal",'Raw Data'!$C$2:$C$205,20))</f>
        <v>0.177210076864284</v>
      </c>
      <c r="D29" s="10" t="n">
        <f aca="false">IF(COUNTIFS('Raw Data'!$A$2:$A$205,"He",'Raw Data'!$B$2:$B$205,"CC",'Raw Data'!$C$2:$C$205,20)=0,"",SUMIFS('Raw Data'!$AJ$2:$AJ$205,'Raw Data'!$A$2:$A$205,"He",'Raw Data'!$B$2:$B$205,"CC",'Raw Data'!$C$2:$C$205,20))</f>
        <v>0.000822437233775397</v>
      </c>
      <c r="E29" s="10" t="n">
        <f aca="false">IF(COUNTIFS('Raw Data'!$A$2:$A$205,"He",'Raw Data'!$B$2:$B$205,"GL",'Raw Data'!$C$2:$C$205,20)=0,"",SUMIFS('Raw Data'!$AJ$2:$AJ$205,'Raw Data'!$A$2:$A$205,"He",'Raw Data'!$B$2:$B$205,"GL",'Raw Data'!$C$2:$C$205,20))</f>
        <v>0.00940649296373453</v>
      </c>
      <c r="F29" s="10" t="n">
        <f aca="false">IF(COUNTIFS('Raw Data'!$A$2:$A$205,"He",'Raw Data'!$B$2:$B$205,"Algebraic",'Raw Data'!$C$2:$C$205,20)=0,"",SUMIFS('Raw Data'!$AJ$2:$AJ$205,'Raw Data'!$A$2:$A$205,"He",'Raw Data'!$B$2:$B$205,"Algebraic",'Raw Data'!$C$2:$C$205,20))</f>
        <v>3.48934668381595E-007</v>
      </c>
    </row>
    <row r="30" customFormat="false" ht="15" hidden="false" customHeight="false" outlineLevel="0" collapsed="false">
      <c r="A30" s="9" t="n">
        <v>30</v>
      </c>
      <c r="B30" s="10" t="n">
        <f aca="false">IF(COUNTIFS('Raw Data'!$A$2:$A$205,"He",'Raw Data'!$B$2:$B$205,"Midpoint",'Raw Data'!$C$2:$C$205,30)=0,"",SUMIFS('Raw Data'!$AJ$2:$AJ$205,'Raw Data'!$A$2:$A$205,"He",'Raw Data'!$B$2:$B$205,"Midpoint",'Raw Data'!$C$2:$C$205,30))</f>
        <v>0.0897278441214742</v>
      </c>
      <c r="C30" s="10" t="n">
        <f aca="false">IF(COUNTIFS('Raw Data'!$A$2:$A$205,"He",'Raw Data'!$B$2:$B$205,"Trapezoidal",'Raw Data'!$C$2:$C$205,30)=0,"",SUMIFS('Raw Data'!$AJ$2:$AJ$205,'Raw Data'!$A$2:$A$205,"He",'Raw Data'!$B$2:$B$205,"Trapezoidal",'Raw Data'!$C$2:$C$205,30))</f>
        <v>0.0977912159353026</v>
      </c>
      <c r="D30" s="10" t="n">
        <f aca="false">IF(COUNTIFS('Raw Data'!$A$2:$A$205,"He",'Raw Data'!$B$2:$B$205,"CC",'Raw Data'!$C$2:$C$205,30)=0,"",SUMIFS('Raw Data'!$AJ$2:$AJ$205,'Raw Data'!$A$2:$A$205,"He",'Raw Data'!$B$2:$B$205,"CC",'Raw Data'!$C$2:$C$205,30))</f>
        <v>0.00227899972139511</v>
      </c>
      <c r="E30" s="10" t="n">
        <f aca="false">IF(COUNTIFS('Raw Data'!$A$2:$A$205,"He",'Raw Data'!$B$2:$B$205,"GL",'Raw Data'!$C$2:$C$205,30)=0,"",SUMIFS('Raw Data'!$AJ$2:$AJ$205,'Raw Data'!$A$2:$A$205,"He",'Raw Data'!$B$2:$B$205,"GL",'Raw Data'!$C$2:$C$205,30))</f>
        <v>0.00139729803917243</v>
      </c>
      <c r="F30" s="10" t="n">
        <f aca="false">IF(COUNTIFS('Raw Data'!$A$2:$A$205,"He",'Raw Data'!$B$2:$B$205,"Algebraic",'Raw Data'!$C$2:$C$205,30)=0,"",SUMIFS('Raw Data'!$AJ$2:$AJ$205,'Raw Data'!$A$2:$A$205,"He",'Raw Data'!$B$2:$B$205,"Algebraic",'Raw Data'!$C$2:$C$205,30))</f>
        <v>1.33768697563319E-007</v>
      </c>
    </row>
    <row r="31" customFormat="false" ht="15" hidden="false" customHeight="false" outlineLevel="0" collapsed="false">
      <c r="A31" s="9" t="n">
        <v>50</v>
      </c>
      <c r="B31" s="10" t="n">
        <f aca="false">IF(COUNTIFS('Raw Data'!$A$2:$A$205,"He",'Raw Data'!$B$2:$B$205,"Midpoint",'Raw Data'!$C$2:$C$205,50)=0,"",SUMIFS('Raw Data'!$AJ$2:$AJ$205,'Raw Data'!$A$2:$A$205,"He",'Raw Data'!$B$2:$B$205,"Midpoint",'Raw Data'!$C$2:$C$205,50))</f>
        <v>3.04444854558605E-005</v>
      </c>
      <c r="C31" s="10" t="n">
        <f aca="false">IF(COUNTIFS('Raw Data'!$A$2:$A$205,"He",'Raw Data'!$B$2:$B$205,"Trapezoidal",'Raw Data'!$C$2:$C$205,50)=0,"",SUMIFS('Raw Data'!$AJ$2:$AJ$205,'Raw Data'!$A$2:$A$205,"He",'Raw Data'!$B$2:$B$205,"Trapezoidal",'Raw Data'!$C$2:$C$205,50))</f>
        <v>1.22612365238695E-005</v>
      </c>
      <c r="D31" s="10" t="n">
        <f aca="false">IF(COUNTIFS('Raw Data'!$A$2:$A$205,"He",'Raw Data'!$B$2:$B$205,"CC",'Raw Data'!$C$2:$C$205,50)=0,"",SUMIFS('Raw Data'!$AJ$2:$AJ$205,'Raw Data'!$A$2:$A$205,"He",'Raw Data'!$B$2:$B$205,"CC",'Raw Data'!$C$2:$C$205,50))</f>
        <v>2.70772216315329E-007</v>
      </c>
      <c r="E31" s="10" t="n">
        <f aca="false">IF(COUNTIFS('Raw Data'!$A$2:$A$205,"He",'Raw Data'!$B$2:$B$205,"GL",'Raw Data'!$C$2:$C$205,50)=0,"",SUMIFS('Raw Data'!$AJ$2:$AJ$205,'Raw Data'!$A$2:$A$205,"He",'Raw Data'!$B$2:$B$205,"GL",'Raw Data'!$C$2:$C$205,50))</f>
        <v>7.11876732673034E-007</v>
      </c>
      <c r="F31" s="10" t="n">
        <f aca="false">IF(COUNTIFS('Raw Data'!$A$2:$A$205,"He",'Raw Data'!$B$2:$B$205,"Algebraic",'Raw Data'!$C$2:$C$205,50)=0,"",SUMIFS('Raw Data'!$AJ$2:$AJ$205,'Raw Data'!$A$2:$A$205,"He",'Raw Data'!$B$2:$B$205,"Algebraic",'Raw Data'!$C$2:$C$205,50))</f>
        <v>2.21506950559558E-008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7" t="s">
        <v>53</v>
      </c>
    </row>
    <row r="2" customFormat="false" ht="15" hidden="false" customHeight="false" outlineLevel="0" collapsed="false">
      <c r="A2" s="6" t="s">
        <v>48</v>
      </c>
    </row>
    <row r="4" customFormat="false" ht="15" hidden="false" customHeight="false" outlineLevel="0" collapsed="false">
      <c r="A4" s="8" t="s">
        <v>49</v>
      </c>
    </row>
    <row r="5" customFormat="false" ht="15" hidden="false" customHeight="false" outlineLevel="0" collapsed="false">
      <c r="A5" s="1" t="s">
        <v>50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</row>
    <row r="6" customFormat="false" ht="15" hidden="false" customHeight="false" outlineLevel="0" collapsed="false">
      <c r="A6" s="9" t="n">
        <v>5</v>
      </c>
      <c r="B6" s="10" t="n">
        <f aca="false">IF(COUNTIFS('Raw Data'!$A$2:$A$205,"Ar",'Raw Data'!$B$2:$B$205,"Midpoint",'Raw Data'!$C$2:$C$205,5)=0,"",SUMIFS('Raw Data'!$T$2:$T$205,'Raw Data'!$A$2:$A$205,"Ar",'Raw Data'!$B$2:$B$205,"Midpoint",'Raw Data'!$C$2:$C$205,5))</f>
        <v>0.141941540289622</v>
      </c>
      <c r="C6" s="10" t="n">
        <f aca="false">IF(COUNTIFS('Raw Data'!$A$2:$A$205,"Ar",'Raw Data'!$B$2:$B$205,"Trapezoidal",'Raw Data'!$C$2:$C$205,5)=0,"",SUMIFS('Raw Data'!$T$2:$T$205,'Raw Data'!$A$2:$A$205,"Ar",'Raw Data'!$B$2:$B$205,"Trapezoidal",'Raw Data'!$C$2:$C$205,5))</f>
        <v>0.0734499542709273</v>
      </c>
      <c r="D6" s="10" t="n">
        <f aca="false">IF(COUNTIFS('Raw Data'!$A$2:$A$205,"Ar",'Raw Data'!$B$2:$B$205,"CC",'Raw Data'!$C$2:$C$205,5)=0,"",SUMIFS('Raw Data'!$T$2:$T$205,'Raw Data'!$A$2:$A$205,"Ar",'Raw Data'!$B$2:$B$205,"CC",'Raw Data'!$C$2:$C$205,5))</f>
        <v>0.1347398600617</v>
      </c>
      <c r="E6" s="10" t="n">
        <f aca="false">IF(COUNTIFS('Raw Data'!$A$2:$A$205,"Ar",'Raw Data'!$B$2:$B$205,"GL",'Raw Data'!$C$2:$C$205,5)=0,"",SUMIFS('Raw Data'!$T$2:$T$205,'Raw Data'!$A$2:$A$205,"Ar",'Raw Data'!$B$2:$B$205,"GL",'Raw Data'!$C$2:$C$205,5))</f>
        <v>0.172193194456327</v>
      </c>
      <c r="F6" s="10" t="n">
        <f aca="false">IF(COUNTIFS('Raw Data'!$A$2:$A$205,"Ar",'Raw Data'!$B$2:$B$205,"Algebraic",'Raw Data'!$C$2:$C$205,5)=0,"",SUMIFS('Raw Data'!$T$2:$T$205,'Raw Data'!$A$2:$A$205,"Ar",'Raw Data'!$B$2:$B$205,"Algebraic",'Raw Data'!$C$2:$C$205,5))</f>
        <v>0.034759977904514</v>
      </c>
    </row>
    <row r="7" customFormat="false" ht="15" hidden="false" customHeight="false" outlineLevel="0" collapsed="false">
      <c r="A7" s="9" t="n">
        <v>10</v>
      </c>
      <c r="B7" s="10" t="n">
        <f aca="false">IF(COUNTIFS('Raw Data'!$A$2:$A$205,"Ar",'Raw Data'!$B$2:$B$205,"Midpoint",'Raw Data'!$C$2:$C$205,10)=0,"",SUMIFS('Raw Data'!$T$2:$T$205,'Raw Data'!$A$2:$A$205,"Ar",'Raw Data'!$B$2:$B$205,"Midpoint",'Raw Data'!$C$2:$C$205,10))</f>
        <v>0.00313628549872647</v>
      </c>
      <c r="C7" s="10" t="n">
        <f aca="false">IF(COUNTIFS('Raw Data'!$A$2:$A$205,"Ar",'Raw Data'!$B$2:$B$205,"Trapezoidal",'Raw Data'!$C$2:$C$205,10)=0,"",SUMIFS('Raw Data'!$T$2:$T$205,'Raw Data'!$A$2:$A$205,"Ar",'Raw Data'!$B$2:$B$205,"Trapezoidal",'Raw Data'!$C$2:$C$205,10))</f>
        <v>0.00504477207198306</v>
      </c>
      <c r="D7" s="10" t="n">
        <f aca="false">IF(COUNTIFS('Raw Data'!$A$2:$A$205,"Ar",'Raw Data'!$B$2:$B$205,"CC",'Raw Data'!$C$2:$C$205,10)=0,"",SUMIFS('Raw Data'!$T$2:$T$205,'Raw Data'!$A$2:$A$205,"Ar",'Raw Data'!$B$2:$B$205,"CC",'Raw Data'!$C$2:$C$205,10))</f>
        <v>0.0182990412181425</v>
      </c>
      <c r="E7" s="10" t="n">
        <f aca="false">IF(COUNTIFS('Raw Data'!$A$2:$A$205,"Ar",'Raw Data'!$B$2:$B$205,"GL",'Raw Data'!$C$2:$C$205,10)=0,"",SUMIFS('Raw Data'!$T$2:$T$205,'Raw Data'!$A$2:$A$205,"Ar",'Raw Data'!$B$2:$B$205,"GL",'Raw Data'!$C$2:$C$205,10))</f>
        <v>0.0268662299295102</v>
      </c>
      <c r="F7" s="10" t="n">
        <f aca="false">IF(COUNTIFS('Raw Data'!$A$2:$A$205,"Ar",'Raw Data'!$B$2:$B$205,"Algebraic",'Raw Data'!$C$2:$C$205,10)=0,"",SUMIFS('Raw Data'!$T$2:$T$205,'Raw Data'!$A$2:$A$205,"Ar",'Raw Data'!$B$2:$B$205,"Algebraic",'Raw Data'!$C$2:$C$205,10))</f>
        <v>0.00858019713689373</v>
      </c>
    </row>
    <row r="8" customFormat="false" ht="15" hidden="false" customHeight="false" outlineLevel="0" collapsed="false">
      <c r="A8" s="9" t="n">
        <v>15</v>
      </c>
      <c r="B8" s="10" t="n">
        <f aca="false">IF(COUNTIFS('Raw Data'!$A$2:$A$205,"Ar",'Raw Data'!$B$2:$B$205,"Midpoint",'Raw Data'!$C$2:$C$205,15)=0,"",SUMIFS('Raw Data'!$T$2:$T$205,'Raw Data'!$A$2:$A$205,"Ar",'Raw Data'!$B$2:$B$205,"Midpoint",'Raw Data'!$C$2:$C$205,15))</f>
        <v>0.000241181987917116</v>
      </c>
      <c r="C8" s="10" t="n">
        <f aca="false">IF(COUNTIFS('Raw Data'!$A$2:$A$205,"Ar",'Raw Data'!$B$2:$B$205,"Trapezoidal",'Raw Data'!$C$2:$C$205,15)=0,"",SUMIFS('Raw Data'!$T$2:$T$205,'Raw Data'!$A$2:$A$205,"Ar",'Raw Data'!$B$2:$B$205,"Trapezoidal",'Raw Data'!$C$2:$C$205,15))</f>
        <v>0.000382226421379528</v>
      </c>
      <c r="D8" s="10" t="n">
        <f aca="false">IF(COUNTIFS('Raw Data'!$A$2:$A$205,"Ar",'Raw Data'!$B$2:$B$205,"CC",'Raw Data'!$C$2:$C$205,15)=0,"",SUMIFS('Raw Data'!$T$2:$T$205,'Raw Data'!$A$2:$A$205,"Ar",'Raw Data'!$B$2:$B$205,"CC",'Raw Data'!$C$2:$C$205,15))</f>
        <v>0.0026215989148568</v>
      </c>
      <c r="E8" s="10" t="n">
        <f aca="false">IF(COUNTIFS('Raw Data'!$A$2:$A$205,"Ar",'Raw Data'!$B$2:$B$205,"GL",'Raw Data'!$C$2:$C$205,15)=0,"",SUMIFS('Raw Data'!$T$2:$T$205,'Raw Data'!$A$2:$A$205,"Ar",'Raw Data'!$B$2:$B$205,"GL",'Raw Data'!$C$2:$C$205,15))</f>
        <v>0.00215557293404345</v>
      </c>
      <c r="F8" s="10" t="n">
        <f aca="false">IF(COUNTIFS('Raw Data'!$A$2:$A$205,"Ar",'Raw Data'!$B$2:$B$205,"Algebraic",'Raw Data'!$C$2:$C$205,15)=0,"",SUMIFS('Raw Data'!$T$2:$T$205,'Raw Data'!$A$2:$A$205,"Ar",'Raw Data'!$B$2:$B$205,"Algebraic",'Raw Data'!$C$2:$C$205,15))</f>
        <v>0.00831757053572346</v>
      </c>
    </row>
    <row r="9" customFormat="false" ht="15" hidden="false" customHeight="false" outlineLevel="0" collapsed="false">
      <c r="A9" s="9" t="n">
        <v>20</v>
      </c>
      <c r="B9" s="10" t="n">
        <f aca="false">IF(COUNTIFS('Raw Data'!$A$2:$A$205,"Ar",'Raw Data'!$B$2:$B$205,"Midpoint",'Raw Data'!$C$2:$C$205,20)=0,"",SUMIFS('Raw Data'!$T$2:$T$205,'Raw Data'!$A$2:$A$205,"Ar",'Raw Data'!$B$2:$B$205,"Midpoint",'Raw Data'!$C$2:$C$205,20))</f>
        <v>2.23643849039945E-005</v>
      </c>
      <c r="C9" s="10" t="n">
        <f aca="false">IF(COUNTIFS('Raw Data'!$A$2:$A$205,"Ar",'Raw Data'!$B$2:$B$205,"Trapezoidal",'Raw Data'!$C$2:$C$205,20)=0,"",SUMIFS('Raw Data'!$T$2:$T$205,'Raw Data'!$A$2:$A$205,"Ar",'Raw Data'!$B$2:$B$205,"Trapezoidal",'Raw Data'!$C$2:$C$205,20))</f>
        <v>4.29032323836509E-005</v>
      </c>
      <c r="D9" s="10" t="n">
        <f aca="false">IF(COUNTIFS('Raw Data'!$A$2:$A$205,"Ar",'Raw Data'!$B$2:$B$205,"CC",'Raw Data'!$C$2:$C$205,20)=0,"",SUMIFS('Raw Data'!$T$2:$T$205,'Raw Data'!$A$2:$A$205,"Ar",'Raw Data'!$B$2:$B$205,"CC",'Raw Data'!$C$2:$C$205,20))</f>
        <v>0.000237093964187807</v>
      </c>
      <c r="E9" s="10" t="n">
        <f aca="false">IF(COUNTIFS('Raw Data'!$A$2:$A$205,"Ar",'Raw Data'!$B$2:$B$205,"GL",'Raw Data'!$C$2:$C$205,20)=0,"",SUMIFS('Raw Data'!$T$2:$T$205,'Raw Data'!$A$2:$A$205,"Ar",'Raw Data'!$B$2:$B$205,"GL",'Raw Data'!$C$2:$C$205,20))</f>
        <v>0.00010364824743192</v>
      </c>
      <c r="F9" s="10" t="n">
        <f aca="false">IF(COUNTIFS('Raw Data'!$A$2:$A$205,"Ar",'Raw Data'!$B$2:$B$205,"Algebraic",'Raw Data'!$C$2:$C$205,20)=0,"",SUMIFS('Raw Data'!$T$2:$T$205,'Raw Data'!$A$2:$A$205,"Ar",'Raw Data'!$B$2:$B$205,"Algebraic",'Raw Data'!$C$2:$C$205,20))</f>
        <v>0.00691897551701004</v>
      </c>
    </row>
    <row r="10" customFormat="false" ht="15" hidden="false" customHeight="false" outlineLevel="0" collapsed="false">
      <c r="A10" s="9" t="n">
        <v>30</v>
      </c>
      <c r="B10" s="10" t="n">
        <f aca="false">IF(COUNTIFS('Raw Data'!$A$2:$A$205,"Ar",'Raw Data'!$B$2:$B$205,"Midpoint",'Raw Data'!$C$2:$C$205,30)=0,"",SUMIFS('Raw Data'!$T$2:$T$205,'Raw Data'!$A$2:$A$205,"Ar",'Raw Data'!$B$2:$B$205,"Midpoint",'Raw Data'!$C$2:$C$205,30))</f>
        <v>7.13725967216305E-010</v>
      </c>
      <c r="C10" s="10" t="n">
        <f aca="false">IF(COUNTIFS('Raw Data'!$A$2:$A$205,"Ar",'Raw Data'!$B$2:$B$205,"Trapezoidal",'Raw Data'!$C$2:$C$205,30)=0,"",SUMIFS('Raw Data'!$T$2:$T$205,'Raw Data'!$A$2:$A$205,"Ar",'Raw Data'!$B$2:$B$205,"Trapezoidal",'Raw Data'!$C$2:$C$205,30))</f>
        <v>7.7990648605919E-008</v>
      </c>
      <c r="D10" s="10" t="n">
        <f aca="false">IF(COUNTIFS('Raw Data'!$A$2:$A$205,"Ar",'Raw Data'!$B$2:$B$205,"CC",'Raw Data'!$C$2:$C$205,30)=0,"",SUMIFS('Raw Data'!$T$2:$T$205,'Raw Data'!$A$2:$A$205,"Ar",'Raw Data'!$B$2:$B$205,"CC",'Raw Data'!$C$2:$C$205,30))</f>
        <v>1.1710336593751E-006</v>
      </c>
      <c r="E10" s="10" t="n">
        <f aca="false">IF(COUNTIFS('Raw Data'!$A$2:$A$205,"Ar",'Raw Data'!$B$2:$B$205,"GL",'Raw Data'!$C$2:$C$205,30)=0,"",SUMIFS('Raw Data'!$T$2:$T$205,'Raw Data'!$A$2:$A$205,"Ar",'Raw Data'!$B$2:$B$205,"GL",'Raw Data'!$C$2:$C$205,30))</f>
        <v>3.8447666383945E-006</v>
      </c>
      <c r="F10" s="10" t="n">
        <f aca="false">IF(COUNTIFS('Raw Data'!$A$2:$A$205,"Ar",'Raw Data'!$B$2:$B$205,"Algebraic",'Raw Data'!$C$2:$C$205,30)=0,"",SUMIFS('Raw Data'!$T$2:$T$205,'Raw Data'!$A$2:$A$205,"Ar",'Raw Data'!$B$2:$B$205,"Algebraic",'Raw Data'!$C$2:$C$205,30))</f>
        <v>0.00232231223640156</v>
      </c>
    </row>
    <row r="11" customFormat="false" ht="15" hidden="false" customHeight="false" outlineLevel="0" collapsed="false">
      <c r="A11" s="9" t="n">
        <v>50</v>
      </c>
      <c r="B11" s="10" t="n">
        <f aca="false">IF(COUNTIFS('Raw Data'!$A$2:$A$205,"Ar",'Raw Data'!$B$2:$B$205,"Midpoint",'Raw Data'!$C$2:$C$205,50)=0,"",SUMIFS('Raw Data'!$T$2:$T$205,'Raw Data'!$A$2:$A$205,"Ar",'Raw Data'!$B$2:$B$205,"Midpoint",'Raw Data'!$C$2:$C$205,50))</f>
        <v>2.1600499167107E-012</v>
      </c>
      <c r="C11" s="10" t="n">
        <f aca="false">IF(COUNTIFS('Raw Data'!$A$2:$A$205,"Ar",'Raw Data'!$B$2:$B$205,"Trapezoidal",'Raw Data'!$C$2:$C$205,50)=0,"",SUMIFS('Raw Data'!$T$2:$T$205,'Raw Data'!$A$2:$A$205,"Ar",'Raw Data'!$B$2:$B$205,"Trapezoidal",'Raw Data'!$C$2:$C$205,50))</f>
        <v>7.38964445190504E-012</v>
      </c>
      <c r="D11" s="10" t="n">
        <f aca="false">IF(COUNTIFS('Raw Data'!$A$2:$A$205,"Ar",'Raw Data'!$B$2:$B$205,"CC",'Raw Data'!$C$2:$C$205,50)=0,"",SUMIFS('Raw Data'!$T$2:$T$205,'Raw Data'!$A$2:$A$205,"Ar",'Raw Data'!$B$2:$B$205,"CC",'Raw Data'!$C$2:$C$205,50))</f>
        <v>2.19029061554465E-009</v>
      </c>
      <c r="E11" s="10" t="n">
        <f aca="false">IF(COUNTIFS('Raw Data'!$A$2:$A$205,"Ar",'Raw Data'!$B$2:$B$205,"GL",'Raw Data'!$C$2:$C$205,50)=0,"",SUMIFS('Raw Data'!$T$2:$T$205,'Raw Data'!$A$2:$A$205,"Ar",'Raw Data'!$B$2:$B$205,"GL",'Raw Data'!$C$2:$C$205,50))</f>
        <v>2.20825313590467E-009</v>
      </c>
      <c r="F11" s="10" t="n">
        <f aca="false">IF(COUNTIFS('Raw Data'!$A$2:$A$205,"Ar",'Raw Data'!$B$2:$B$205,"Algebraic",'Raw Data'!$C$2:$C$205,50)=0,"",SUMIFS('Raw Data'!$T$2:$T$205,'Raw Data'!$A$2:$A$205,"Ar",'Raw Data'!$B$2:$B$205,"Algebraic",'Raw Data'!$C$2:$C$205,50))</f>
        <v>0.000541374635304237</v>
      </c>
    </row>
    <row r="14" customFormat="false" ht="15" hidden="false" customHeight="false" outlineLevel="0" collapsed="false">
      <c r="A14" s="8" t="s">
        <v>51</v>
      </c>
    </row>
    <row r="15" customFormat="false" ht="15" hidden="false" customHeight="false" outlineLevel="0" collapsed="false">
      <c r="A15" s="1" t="s">
        <v>50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</row>
    <row r="16" customFormat="false" ht="15" hidden="false" customHeight="false" outlineLevel="0" collapsed="false">
      <c r="A16" s="9" t="n">
        <v>5</v>
      </c>
      <c r="B16" s="10" t="n">
        <f aca="false">IF(COUNTIFS('Raw Data'!$A$2:$A$205,"Ar",'Raw Data'!$B$2:$B$205,"Midpoint",'Raw Data'!$C$2:$C$205,5)=0,"",SUMIFS('Raw Data'!$U$2:$U$205,'Raw Data'!$A$2:$A$205,"Ar",'Raw Data'!$B$2:$B$205,"Midpoint",'Raw Data'!$C$2:$C$205,5))</f>
        <v>0.13864904061854</v>
      </c>
      <c r="C16" s="10" t="n">
        <f aca="false">IF(COUNTIFS('Raw Data'!$A$2:$A$205,"Ar",'Raw Data'!$B$2:$B$205,"Trapezoidal",'Raw Data'!$C$2:$C$205,5)=0,"",SUMIFS('Raw Data'!$U$2:$U$205,'Raw Data'!$A$2:$A$205,"Ar",'Raw Data'!$B$2:$B$205,"Trapezoidal",'Raw Data'!$C$2:$C$205,5))</f>
        <v>0.0773149193970091</v>
      </c>
      <c r="D16" s="10" t="n">
        <f aca="false">IF(COUNTIFS('Raw Data'!$A$2:$A$205,"Ar",'Raw Data'!$B$2:$B$205,"CC",'Raw Data'!$C$2:$C$205,5)=0,"",SUMIFS('Raw Data'!$U$2:$U$205,'Raw Data'!$A$2:$A$205,"Ar",'Raw Data'!$B$2:$B$205,"CC",'Raw Data'!$C$2:$C$205,5))</f>
        <v>0.129966964992019</v>
      </c>
      <c r="E16" s="10" t="n">
        <f aca="false">IF(COUNTIFS('Raw Data'!$A$2:$A$205,"Ar",'Raw Data'!$B$2:$B$205,"GL",'Raw Data'!$C$2:$C$205,5)=0,"",SUMIFS('Raw Data'!$U$2:$U$205,'Raw Data'!$A$2:$A$205,"Ar",'Raw Data'!$B$2:$B$205,"GL",'Raw Data'!$C$2:$C$205,5))</f>
        <v>0.172475084994801</v>
      </c>
      <c r="F16" s="10" t="n">
        <f aca="false">IF(COUNTIFS('Raw Data'!$A$2:$A$205,"Ar",'Raw Data'!$B$2:$B$205,"Algebraic",'Raw Data'!$C$2:$C$205,5)=0,"",SUMIFS('Raw Data'!$U$2:$U$205,'Raw Data'!$A$2:$A$205,"Ar",'Raw Data'!$B$2:$B$205,"Algebraic",'Raw Data'!$C$2:$C$205,5))</f>
        <v>0.0348754033548899</v>
      </c>
    </row>
    <row r="17" customFormat="false" ht="15" hidden="false" customHeight="false" outlineLevel="0" collapsed="false">
      <c r="A17" s="9" t="n">
        <v>10</v>
      </c>
      <c r="B17" s="10" t="n">
        <f aca="false">IF(COUNTIFS('Raw Data'!$A$2:$A$205,"Ar",'Raw Data'!$B$2:$B$205,"Midpoint",'Raw Data'!$C$2:$C$205,10)=0,"",SUMIFS('Raw Data'!$U$2:$U$205,'Raw Data'!$A$2:$A$205,"Ar",'Raw Data'!$B$2:$B$205,"Midpoint",'Raw Data'!$C$2:$C$205,10))</f>
        <v>0.00267070772512201</v>
      </c>
      <c r="C17" s="10" t="n">
        <f aca="false">IF(COUNTIFS('Raw Data'!$A$2:$A$205,"Ar",'Raw Data'!$B$2:$B$205,"Trapezoidal",'Raw Data'!$C$2:$C$205,10)=0,"",SUMIFS('Raw Data'!$U$2:$U$205,'Raw Data'!$A$2:$A$205,"Ar",'Raw Data'!$B$2:$B$205,"Trapezoidal",'Raw Data'!$C$2:$C$205,10))</f>
        <v>0.00509709076758202</v>
      </c>
      <c r="D17" s="10" t="n">
        <f aca="false">IF(COUNTIFS('Raw Data'!$A$2:$A$205,"Ar",'Raw Data'!$B$2:$B$205,"CC",'Raw Data'!$C$2:$C$205,10)=0,"",SUMIFS('Raw Data'!$U$2:$U$205,'Raw Data'!$A$2:$A$205,"Ar",'Raw Data'!$B$2:$B$205,"CC",'Raw Data'!$C$2:$C$205,10))</f>
        <v>0.018597171946509</v>
      </c>
      <c r="E17" s="10" t="n">
        <f aca="false">IF(COUNTIFS('Raw Data'!$A$2:$A$205,"Ar",'Raw Data'!$B$2:$B$205,"GL",'Raw Data'!$C$2:$C$205,10)=0,"",SUMIFS('Raw Data'!$U$2:$U$205,'Raw Data'!$A$2:$A$205,"Ar",'Raw Data'!$B$2:$B$205,"GL",'Raw Data'!$C$2:$C$205,10))</f>
        <v>0.026573163795244</v>
      </c>
      <c r="F17" s="10" t="n">
        <f aca="false">IF(COUNTIFS('Raw Data'!$A$2:$A$205,"Ar",'Raw Data'!$B$2:$B$205,"Algebraic",'Raw Data'!$C$2:$C$205,10)=0,"",SUMIFS('Raw Data'!$U$2:$U$205,'Raw Data'!$A$2:$A$205,"Ar",'Raw Data'!$B$2:$B$205,"Algebraic",'Raw Data'!$C$2:$C$205,10))</f>
        <v>0.00856490035525104</v>
      </c>
    </row>
    <row r="18" customFormat="false" ht="15" hidden="false" customHeight="false" outlineLevel="0" collapsed="false">
      <c r="A18" s="9" t="n">
        <v>15</v>
      </c>
      <c r="B18" s="10" t="n">
        <f aca="false">IF(COUNTIFS('Raw Data'!$A$2:$A$205,"Ar",'Raw Data'!$B$2:$B$205,"Midpoint",'Raw Data'!$C$2:$C$205,15)=0,"",SUMIFS('Raw Data'!$U$2:$U$205,'Raw Data'!$A$2:$A$205,"Ar",'Raw Data'!$B$2:$B$205,"Midpoint",'Raw Data'!$C$2:$C$205,15))</f>
        <v>0.000233149067627947</v>
      </c>
      <c r="C18" s="10" t="n">
        <f aca="false">IF(COUNTIFS('Raw Data'!$A$2:$A$205,"Ar",'Raw Data'!$B$2:$B$205,"Trapezoidal",'Raw Data'!$C$2:$C$205,15)=0,"",SUMIFS('Raw Data'!$U$2:$U$205,'Raw Data'!$A$2:$A$205,"Ar",'Raw Data'!$B$2:$B$205,"Trapezoidal",'Raw Data'!$C$2:$C$205,15))</f>
        <v>0.000413703093500972</v>
      </c>
      <c r="D18" s="10" t="n">
        <f aca="false">IF(COUNTIFS('Raw Data'!$A$2:$A$205,"Ar",'Raw Data'!$B$2:$B$205,"CC",'Raw Data'!$C$2:$C$205,15)=0,"",SUMIFS('Raw Data'!$U$2:$U$205,'Raw Data'!$A$2:$A$205,"Ar",'Raw Data'!$B$2:$B$205,"CC",'Raw Data'!$C$2:$C$205,15))</f>
        <v>0.00255941544910598</v>
      </c>
      <c r="E18" s="10" t="n">
        <f aca="false">IF(COUNTIFS('Raw Data'!$A$2:$A$205,"Ar",'Raw Data'!$B$2:$B$205,"GL",'Raw Data'!$C$2:$C$205,15)=0,"",SUMIFS('Raw Data'!$U$2:$U$205,'Raw Data'!$A$2:$A$205,"Ar",'Raw Data'!$B$2:$B$205,"GL",'Raw Data'!$C$2:$C$205,15))</f>
        <v>0.00212658803892296</v>
      </c>
      <c r="F18" s="10" t="n">
        <f aca="false">IF(COUNTIFS('Raw Data'!$A$2:$A$205,"Ar",'Raw Data'!$B$2:$B$205,"Algebraic",'Raw Data'!$C$2:$C$205,15)=0,"",SUMIFS('Raw Data'!$U$2:$U$205,'Raw Data'!$A$2:$A$205,"Ar",'Raw Data'!$B$2:$B$205,"Algebraic",'Raw Data'!$C$2:$C$205,15))</f>
        <v>0.00832120577047202</v>
      </c>
    </row>
    <row r="19" customFormat="false" ht="15" hidden="false" customHeight="false" outlineLevel="0" collapsed="false">
      <c r="A19" s="9" t="n">
        <v>20</v>
      </c>
      <c r="B19" s="10" t="n">
        <f aca="false">IF(COUNTIFS('Raw Data'!$A$2:$A$205,"Ar",'Raw Data'!$B$2:$B$205,"Midpoint",'Raw Data'!$C$2:$C$205,20)=0,"",SUMIFS('Raw Data'!$U$2:$U$205,'Raw Data'!$A$2:$A$205,"Ar",'Raw Data'!$B$2:$B$205,"Midpoint",'Raw Data'!$C$2:$C$205,20))</f>
        <v>2.11283316409183E-005</v>
      </c>
      <c r="C19" s="10" t="n">
        <f aca="false">IF(COUNTIFS('Raw Data'!$A$2:$A$205,"Ar",'Raw Data'!$B$2:$B$205,"Trapezoidal",'Raw Data'!$C$2:$C$205,20)=0,"",SUMIFS('Raw Data'!$U$2:$U$205,'Raw Data'!$A$2:$A$205,"Ar",'Raw Data'!$B$2:$B$205,"Trapezoidal",'Raw Data'!$C$2:$C$205,20))</f>
        <v>4.24733716959391E-005</v>
      </c>
      <c r="D19" s="10" t="n">
        <f aca="false">IF(COUNTIFS('Raw Data'!$A$2:$A$205,"Ar",'Raw Data'!$B$2:$B$205,"CC",'Raw Data'!$C$2:$C$205,20)=0,"",SUMIFS('Raw Data'!$U$2:$U$205,'Raw Data'!$A$2:$A$205,"Ar",'Raw Data'!$B$2:$B$205,"CC",'Raw Data'!$C$2:$C$205,20))</f>
        <v>0.000251335514156903</v>
      </c>
      <c r="E19" s="10" t="n">
        <f aca="false">IF(COUNTIFS('Raw Data'!$A$2:$A$205,"Ar",'Raw Data'!$B$2:$B$205,"GL",'Raw Data'!$C$2:$C$205,20)=0,"",SUMIFS('Raw Data'!$U$2:$U$205,'Raw Data'!$A$2:$A$205,"Ar",'Raw Data'!$B$2:$B$205,"GL",'Raw Data'!$C$2:$C$205,20))</f>
        <v>9.68623774331157E-005</v>
      </c>
      <c r="F19" s="10" t="n">
        <f aca="false">IF(COUNTIFS('Raw Data'!$A$2:$A$205,"Ar",'Raw Data'!$B$2:$B$205,"Algebraic",'Raw Data'!$C$2:$C$205,20)=0,"",SUMIFS('Raw Data'!$U$2:$U$205,'Raw Data'!$A$2:$A$205,"Ar",'Raw Data'!$B$2:$B$205,"Algebraic",'Raw Data'!$C$2:$C$205,20))</f>
        <v>0.00692085595951109</v>
      </c>
    </row>
    <row r="20" customFormat="false" ht="15" hidden="false" customHeight="false" outlineLevel="0" collapsed="false">
      <c r="A20" s="9" t="n">
        <v>30</v>
      </c>
      <c r="B20" s="10" t="n">
        <f aca="false">IF(COUNTIFS('Raw Data'!$A$2:$A$205,"Ar",'Raw Data'!$B$2:$B$205,"Midpoint",'Raw Data'!$C$2:$C$205,30)=0,"",SUMIFS('Raw Data'!$U$2:$U$205,'Raw Data'!$A$2:$A$205,"Ar",'Raw Data'!$B$2:$B$205,"Midpoint",'Raw Data'!$C$2:$C$205,30))</f>
        <v>6.01556404689063E-009</v>
      </c>
      <c r="C20" s="10" t="n">
        <f aca="false">IF(COUNTIFS('Raw Data'!$A$2:$A$205,"Ar",'Raw Data'!$B$2:$B$205,"Trapezoidal",'Raw Data'!$C$2:$C$205,30)=0,"",SUMIFS('Raw Data'!$U$2:$U$205,'Raw Data'!$A$2:$A$205,"Ar",'Raw Data'!$B$2:$B$205,"Trapezoidal",'Raw Data'!$C$2:$C$205,30))</f>
        <v>7.95808849929358E-008</v>
      </c>
      <c r="D20" s="10" t="n">
        <f aca="false">IF(COUNTIFS('Raw Data'!$A$2:$A$205,"Ar",'Raw Data'!$B$2:$B$205,"CC",'Raw Data'!$C$2:$C$205,30)=0,"",SUMIFS('Raw Data'!$U$2:$U$205,'Raw Data'!$A$2:$A$205,"Ar",'Raw Data'!$B$2:$B$205,"CC",'Raw Data'!$C$2:$C$205,30))</f>
        <v>8.94134605911034E-007</v>
      </c>
      <c r="E20" s="10" t="n">
        <f aca="false">IF(COUNTIFS('Raw Data'!$A$2:$A$205,"Ar",'Raw Data'!$B$2:$B$205,"GL",'Raw Data'!$C$2:$C$205,30)=0,"",SUMIFS('Raw Data'!$U$2:$U$205,'Raw Data'!$A$2:$A$205,"Ar",'Raw Data'!$B$2:$B$205,"GL",'Raw Data'!$C$2:$C$205,30))</f>
        <v>3.92275856686553E-006</v>
      </c>
      <c r="F20" s="10" t="n">
        <f aca="false">IF(COUNTIFS('Raw Data'!$A$2:$A$205,"Ar",'Raw Data'!$B$2:$B$205,"Algebraic",'Raw Data'!$C$2:$C$205,30)=0,"",SUMIFS('Raw Data'!$U$2:$U$205,'Raw Data'!$A$2:$A$205,"Ar",'Raw Data'!$B$2:$B$205,"Algebraic",'Raw Data'!$C$2:$C$205,30))</f>
        <v>0.00232274244651598</v>
      </c>
    </row>
    <row r="21" customFormat="false" ht="15" hidden="false" customHeight="false" outlineLevel="0" collapsed="false">
      <c r="A21" s="9" t="n">
        <v>50</v>
      </c>
      <c r="B21" s="10" t="n">
        <f aca="false">IF(COUNTIFS('Raw Data'!$A$2:$A$205,"Ar",'Raw Data'!$B$2:$B$205,"Midpoint",'Raw Data'!$C$2:$C$205,50)=0,"",SUMIFS('Raw Data'!$U$2:$U$205,'Raw Data'!$A$2:$A$205,"Ar",'Raw Data'!$B$2:$B$205,"Midpoint",'Raw Data'!$C$2:$C$205,50))</f>
        <v>3.14792636402217E-012</v>
      </c>
      <c r="C21" s="10" t="n">
        <f aca="false">IF(COUNTIFS('Raw Data'!$A$2:$A$205,"Ar",'Raw Data'!$B$2:$B$205,"Trapezoidal",'Raw Data'!$C$2:$C$205,50)=0,"",SUMIFS('Raw Data'!$U$2:$U$205,'Raw Data'!$A$2:$A$205,"Ar",'Raw Data'!$B$2:$B$205,"Trapezoidal",'Raw Data'!$C$2:$C$205,50))</f>
        <v>5.90905102626493E-012</v>
      </c>
      <c r="D21" s="10" t="n">
        <f aca="false">IF(COUNTIFS('Raw Data'!$A$2:$A$205,"Ar",'Raw Data'!$B$2:$B$205,"CC",'Raw Data'!$C$2:$C$205,50)=0,"",SUMIFS('Raw Data'!$U$2:$U$205,'Raw Data'!$A$2:$A$205,"Ar",'Raw Data'!$B$2:$B$205,"CC",'Raw Data'!$C$2:$C$205,50))</f>
        <v>2.18453499734039E-009</v>
      </c>
      <c r="E21" s="10" t="n">
        <f aca="false">IF(COUNTIFS('Raw Data'!$A$2:$A$205,"Ar",'Raw Data'!$B$2:$B$205,"GL",'Raw Data'!$C$2:$C$205,50)=0,"",SUMIFS('Raw Data'!$U$2:$U$205,'Raw Data'!$A$2:$A$205,"Ar",'Raw Data'!$B$2:$B$205,"GL",'Raw Data'!$C$2:$C$205,50))</f>
        <v>2.1930339766385E-009</v>
      </c>
      <c r="F21" s="10" t="n">
        <f aca="false">IF(COUNTIFS('Raw Data'!$A$2:$A$205,"Ar",'Raw Data'!$B$2:$B$205,"Algebraic",'Raw Data'!$C$2:$C$205,50)=0,"",SUMIFS('Raw Data'!$U$2:$U$205,'Raw Data'!$A$2:$A$205,"Ar",'Raw Data'!$B$2:$B$205,"Algebraic",'Raw Data'!$C$2:$C$205,50))</f>
        <v>0.000541267289132064</v>
      </c>
    </row>
    <row r="24" customFormat="false" ht="15" hidden="false" customHeight="false" outlineLevel="0" collapsed="false">
      <c r="A24" s="8" t="s">
        <v>52</v>
      </c>
    </row>
    <row r="25" customFormat="false" ht="15" hidden="false" customHeight="false" outlineLevel="0" collapsed="false">
      <c r="A25" s="1" t="s">
        <v>50</v>
      </c>
      <c r="B25" s="1" t="s">
        <v>37</v>
      </c>
      <c r="C25" s="1" t="s">
        <v>38</v>
      </c>
      <c r="D25" s="1" t="s">
        <v>39</v>
      </c>
      <c r="E25" s="1" t="s">
        <v>40</v>
      </c>
      <c r="F25" s="1" t="s">
        <v>41</v>
      </c>
    </row>
    <row r="26" customFormat="false" ht="15" hidden="false" customHeight="false" outlineLevel="0" collapsed="false">
      <c r="A26" s="9" t="n">
        <v>5</v>
      </c>
      <c r="B26" s="10" t="n">
        <f aca="false">IF(COUNTIFS('Raw Data'!$A$2:$A$205,"Ar",'Raw Data'!$B$2:$B$205,"Midpoint",'Raw Data'!$C$2:$C$205,5)=0,"",SUMIFS('Raw Data'!$AJ$2:$AJ$205,'Raw Data'!$A$2:$A$205,"Ar",'Raw Data'!$B$2:$B$205,"Midpoint",'Raw Data'!$C$2:$C$205,5))</f>
        <v>0.0655892148579571</v>
      </c>
      <c r="C26" s="10" t="n">
        <f aca="false">IF(COUNTIFS('Raw Data'!$A$2:$A$205,"Ar",'Raw Data'!$B$2:$B$205,"Trapezoidal",'Raw Data'!$C$2:$C$205,5)=0,"",SUMIFS('Raw Data'!$AJ$2:$AJ$205,'Raw Data'!$A$2:$A$205,"Ar",'Raw Data'!$B$2:$B$205,"Trapezoidal",'Raw Data'!$C$2:$C$205,5))</f>
        <v>0.404867309883237</v>
      </c>
      <c r="D26" s="10" t="n">
        <f aca="false">IF(COUNTIFS('Raw Data'!$A$2:$A$205,"Ar",'Raw Data'!$B$2:$B$205,"CC",'Raw Data'!$C$2:$C$205,5)=0,"",SUMIFS('Raw Data'!$AJ$2:$AJ$205,'Raw Data'!$A$2:$A$205,"Ar",'Raw Data'!$B$2:$B$205,"CC",'Raw Data'!$C$2:$C$205,5))</f>
        <v>0.26254662183179</v>
      </c>
      <c r="E26" s="10" t="n">
        <f aca="false">IF(COUNTIFS('Raw Data'!$A$2:$A$205,"Ar",'Raw Data'!$B$2:$B$205,"GL",'Raw Data'!$C$2:$C$205,5)=0,"",SUMIFS('Raw Data'!$AJ$2:$AJ$205,'Raw Data'!$A$2:$A$205,"Ar",'Raw Data'!$B$2:$B$205,"GL",'Raw Data'!$C$2:$C$205,5))</f>
        <v>0.168944359013656</v>
      </c>
      <c r="F26" s="10" t="n">
        <f aca="false">IF(COUNTIFS('Raw Data'!$A$2:$A$205,"Ar",'Raw Data'!$B$2:$B$205,"Algebraic",'Raw Data'!$C$2:$C$205,5)=0,"",SUMIFS('Raw Data'!$AJ$2:$AJ$205,'Raw Data'!$A$2:$A$205,"Ar",'Raw Data'!$B$2:$B$205,"Algebraic",'Raw Data'!$C$2:$C$205,5))</f>
        <v>0.033126948064691</v>
      </c>
    </row>
    <row r="27" customFormat="false" ht="15" hidden="false" customHeight="false" outlineLevel="0" collapsed="false">
      <c r="A27" s="9" t="n">
        <v>10</v>
      </c>
      <c r="B27" s="10" t="n">
        <f aca="false">IF(COUNTIFS('Raw Data'!$A$2:$A$205,"Ar",'Raw Data'!$B$2:$B$205,"Midpoint",'Raw Data'!$C$2:$C$205,10)=0,"",SUMIFS('Raw Data'!$AJ$2:$AJ$205,'Raw Data'!$A$2:$A$205,"Ar",'Raw Data'!$B$2:$B$205,"Midpoint",'Raw Data'!$C$2:$C$205,10))</f>
        <v>0.057729953247607</v>
      </c>
      <c r="C27" s="10" t="n">
        <f aca="false">IF(COUNTIFS('Raw Data'!$A$2:$A$205,"Ar",'Raw Data'!$B$2:$B$205,"Trapezoidal",'Raw Data'!$C$2:$C$205,10)=0,"",SUMIFS('Raw Data'!$AJ$2:$AJ$205,'Raw Data'!$A$2:$A$205,"Ar",'Raw Data'!$B$2:$B$205,"Trapezoidal",'Raw Data'!$C$2:$C$205,10))</f>
        <v>0.203998106258665</v>
      </c>
      <c r="D27" s="10" t="n">
        <f aca="false">IF(COUNTIFS('Raw Data'!$A$2:$A$205,"Ar",'Raw Data'!$B$2:$B$205,"CC",'Raw Data'!$C$2:$C$205,10)=0,"",SUMIFS('Raw Data'!$AJ$2:$AJ$205,'Raw Data'!$A$2:$A$205,"Ar",'Raw Data'!$B$2:$B$205,"CC",'Raw Data'!$C$2:$C$205,10))</f>
        <v>0.0763929087759401</v>
      </c>
      <c r="E27" s="10" t="n">
        <f aca="false">IF(COUNTIFS('Raw Data'!$A$2:$A$205,"Ar",'Raw Data'!$B$2:$B$205,"GL",'Raw Data'!$C$2:$C$205,10)=0,"",SUMIFS('Raw Data'!$AJ$2:$AJ$205,'Raw Data'!$A$2:$A$205,"Ar",'Raw Data'!$B$2:$B$205,"GL",'Raw Data'!$C$2:$C$205,10))</f>
        <v>0.0622767536118971</v>
      </c>
      <c r="F27" s="10" t="n">
        <f aca="false">IF(COUNTIFS('Raw Data'!$A$2:$A$205,"Ar",'Raw Data'!$B$2:$B$205,"Algebraic",'Raw Data'!$C$2:$C$205,10)=0,"",SUMIFS('Raw Data'!$AJ$2:$AJ$205,'Raw Data'!$A$2:$A$205,"Ar",'Raw Data'!$B$2:$B$205,"Algebraic",'Raw Data'!$C$2:$C$205,10))</f>
        <v>0.032086171330505</v>
      </c>
    </row>
    <row r="28" customFormat="false" ht="15" hidden="false" customHeight="false" outlineLevel="0" collapsed="false">
      <c r="A28" s="9" t="n">
        <v>15</v>
      </c>
      <c r="B28" s="10" t="n">
        <f aca="false">IF(COUNTIFS('Raw Data'!$A$2:$A$205,"Ar",'Raw Data'!$B$2:$B$205,"Midpoint",'Raw Data'!$C$2:$C$205,15)=0,"",SUMIFS('Raw Data'!$AJ$2:$AJ$205,'Raw Data'!$A$2:$A$205,"Ar",'Raw Data'!$B$2:$B$205,"Midpoint",'Raw Data'!$C$2:$C$205,15))</f>
        <v>0.102524161528849</v>
      </c>
      <c r="C28" s="10" t="n">
        <f aca="false">IF(COUNTIFS('Raw Data'!$A$2:$A$205,"Ar",'Raw Data'!$B$2:$B$205,"Trapezoidal",'Raw Data'!$C$2:$C$205,15)=0,"",SUMIFS('Raw Data'!$AJ$2:$AJ$205,'Raw Data'!$A$2:$A$205,"Ar",'Raw Data'!$B$2:$B$205,"Trapezoidal",'Raw Data'!$C$2:$C$205,15))</f>
        <v>0.116975827494108</v>
      </c>
      <c r="D28" s="10" t="n">
        <f aca="false">IF(COUNTIFS('Raw Data'!$A$2:$A$205,"Ar",'Raw Data'!$B$2:$B$205,"CC",'Raw Data'!$C$2:$C$205,15)=0,"",SUMIFS('Raw Data'!$AJ$2:$AJ$205,'Raw Data'!$A$2:$A$205,"Ar",'Raw Data'!$B$2:$B$205,"CC",'Raw Data'!$C$2:$C$205,15))</f>
        <v>0.0295410221329036</v>
      </c>
      <c r="E28" s="10" t="n">
        <f aca="false">IF(COUNTIFS('Raw Data'!$A$2:$A$205,"Ar",'Raw Data'!$B$2:$B$205,"GL",'Raw Data'!$C$2:$C$205,15)=0,"",SUMIFS('Raw Data'!$AJ$2:$AJ$205,'Raw Data'!$A$2:$A$205,"Ar",'Raw Data'!$B$2:$B$205,"GL",'Raw Data'!$C$2:$C$205,15))</f>
        <v>0.0188065978137733</v>
      </c>
      <c r="F28" s="10" t="n">
        <f aca="false">IF(COUNTIFS('Raw Data'!$A$2:$A$205,"Ar",'Raw Data'!$B$2:$B$205,"Algebraic",'Raw Data'!$C$2:$C$205,15)=0,"",SUMIFS('Raw Data'!$AJ$2:$AJ$205,'Raw Data'!$A$2:$A$205,"Ar",'Raw Data'!$B$2:$B$205,"Algebraic",'Raw Data'!$C$2:$C$205,15))</f>
        <v>0.00268384056289506</v>
      </c>
    </row>
    <row r="29" customFormat="false" ht="15" hidden="false" customHeight="false" outlineLevel="0" collapsed="false">
      <c r="A29" s="9" t="n">
        <v>20</v>
      </c>
      <c r="B29" s="10" t="n">
        <f aca="false">IF(COUNTIFS('Raw Data'!$A$2:$A$205,"Ar",'Raw Data'!$B$2:$B$205,"Midpoint",'Raw Data'!$C$2:$C$205,20)=0,"",SUMIFS('Raw Data'!$AJ$2:$AJ$205,'Raw Data'!$A$2:$A$205,"Ar",'Raw Data'!$B$2:$B$205,"Midpoint",'Raw Data'!$C$2:$C$205,20))</f>
        <v>0.0702021885933868</v>
      </c>
      <c r="C29" s="10" t="n">
        <f aca="false">IF(COUNTIFS('Raw Data'!$A$2:$A$205,"Ar",'Raw Data'!$B$2:$B$205,"Trapezoidal",'Raw Data'!$C$2:$C$205,20)=0,"",SUMIFS('Raw Data'!$AJ$2:$AJ$205,'Raw Data'!$A$2:$A$205,"Ar",'Raw Data'!$B$2:$B$205,"Trapezoidal",'Raw Data'!$C$2:$C$205,20))</f>
        <v>0.0770167607277783</v>
      </c>
      <c r="D29" s="10" t="n">
        <f aca="false">IF(COUNTIFS('Raw Data'!$A$2:$A$205,"Ar",'Raw Data'!$B$2:$B$205,"CC",'Raw Data'!$C$2:$C$205,20)=0,"",SUMIFS('Raw Data'!$AJ$2:$AJ$205,'Raw Data'!$A$2:$A$205,"Ar",'Raw Data'!$B$2:$B$205,"CC",'Raw Data'!$C$2:$C$205,20))</f>
        <v>0.0054524005362353</v>
      </c>
      <c r="E29" s="10" t="n">
        <f aca="false">IF(COUNTIFS('Raw Data'!$A$2:$A$205,"Ar",'Raw Data'!$B$2:$B$205,"GL",'Raw Data'!$C$2:$C$205,20)=0,"",SUMIFS('Raw Data'!$AJ$2:$AJ$205,'Raw Data'!$A$2:$A$205,"Ar",'Raw Data'!$B$2:$B$205,"GL",'Raw Data'!$C$2:$C$205,20))</f>
        <v>0.00570806179500494</v>
      </c>
      <c r="F29" s="10" t="n">
        <f aca="false">IF(COUNTIFS('Raw Data'!$A$2:$A$205,"Ar",'Raw Data'!$B$2:$B$205,"Algebraic",'Raw Data'!$C$2:$C$205,20)=0,"",SUMIFS('Raw Data'!$AJ$2:$AJ$205,'Raw Data'!$A$2:$A$205,"Ar",'Raw Data'!$B$2:$B$205,"Algebraic",'Raw Data'!$C$2:$C$205,20))</f>
        <v>0.00668480626470114</v>
      </c>
    </row>
    <row r="30" customFormat="false" ht="15" hidden="false" customHeight="false" outlineLevel="0" collapsed="false">
      <c r="A30" s="9" t="n">
        <v>30</v>
      </c>
      <c r="B30" s="10" t="n">
        <f aca="false">IF(COUNTIFS('Raw Data'!$A$2:$A$205,"Ar",'Raw Data'!$B$2:$B$205,"Midpoint",'Raw Data'!$C$2:$C$205,30)=0,"",SUMIFS('Raw Data'!$AJ$2:$AJ$205,'Raw Data'!$A$2:$A$205,"Ar",'Raw Data'!$B$2:$B$205,"Midpoint",'Raw Data'!$C$2:$C$205,30))</f>
        <v>0.00356724799906605</v>
      </c>
      <c r="C30" s="10" t="n">
        <f aca="false">IF(COUNTIFS('Raw Data'!$A$2:$A$205,"Ar",'Raw Data'!$B$2:$B$205,"Trapezoidal",'Raw Data'!$C$2:$C$205,30)=0,"",SUMIFS('Raw Data'!$AJ$2:$AJ$205,'Raw Data'!$A$2:$A$205,"Ar",'Raw Data'!$B$2:$B$205,"Trapezoidal",'Raw Data'!$C$2:$C$205,30))</f>
        <v>0.0064573948959159</v>
      </c>
      <c r="D30" s="10" t="n">
        <f aca="false">IF(COUNTIFS('Raw Data'!$A$2:$A$205,"Ar",'Raw Data'!$B$2:$B$205,"CC",'Raw Data'!$C$2:$C$205,30)=0,"",SUMIFS('Raw Data'!$AJ$2:$AJ$205,'Raw Data'!$A$2:$A$205,"Ar",'Raw Data'!$B$2:$B$205,"CC",'Raw Data'!$C$2:$C$205,30))</f>
        <v>0.000302350543805119</v>
      </c>
      <c r="E30" s="10" t="n">
        <f aca="false">IF(COUNTIFS('Raw Data'!$A$2:$A$205,"Ar",'Raw Data'!$B$2:$B$205,"GL",'Raw Data'!$C$2:$C$205,30)=0,"",SUMIFS('Raw Data'!$AJ$2:$AJ$205,'Raw Data'!$A$2:$A$205,"Ar",'Raw Data'!$B$2:$B$205,"GL",'Raw Data'!$C$2:$C$205,30))</f>
        <v>0.000152456114845823</v>
      </c>
      <c r="F30" s="10" t="n">
        <f aca="false">IF(COUNTIFS('Raw Data'!$A$2:$A$205,"Ar",'Raw Data'!$B$2:$B$205,"Algebraic",'Raw Data'!$C$2:$C$205,30)=0,"",SUMIFS('Raw Data'!$AJ$2:$AJ$205,'Raw Data'!$A$2:$A$205,"Ar",'Raw Data'!$B$2:$B$205,"Algebraic",'Raw Data'!$C$2:$C$205,30))</f>
        <v>0.0018492111693007</v>
      </c>
    </row>
    <row r="31" customFormat="false" ht="15" hidden="false" customHeight="false" outlineLevel="0" collapsed="false">
      <c r="A31" s="9" t="n">
        <v>50</v>
      </c>
      <c r="B31" s="10" t="n">
        <f aca="false">IF(COUNTIFS('Raw Data'!$A$2:$A$205,"Ar",'Raw Data'!$B$2:$B$205,"Midpoint",'Raw Data'!$C$2:$C$205,50)=0,"",SUMIFS('Raw Data'!$AJ$2:$AJ$205,'Raw Data'!$A$2:$A$205,"Ar",'Raw Data'!$B$2:$B$205,"Midpoint",'Raw Data'!$C$2:$C$205,50))</f>
        <v>1.90897844731808E-006</v>
      </c>
      <c r="C31" s="10" t="n">
        <f aca="false">IF(COUNTIFS('Raw Data'!$A$2:$A$205,"Ar",'Raw Data'!$B$2:$B$205,"Trapezoidal",'Raw Data'!$C$2:$C$205,50)=0,"",SUMIFS('Raw Data'!$AJ$2:$AJ$205,'Raw Data'!$A$2:$A$205,"Ar",'Raw Data'!$B$2:$B$205,"Trapezoidal",'Raw Data'!$C$2:$C$205,50))</f>
        <v>4.2636557918696E-006</v>
      </c>
      <c r="D31" s="10" t="n">
        <f aca="false">IF(COUNTIFS('Raw Data'!$A$2:$A$205,"Ar",'Raw Data'!$B$2:$B$205,"CC",'Raw Data'!$C$2:$C$205,50)=0,"",SUMIFS('Raw Data'!$AJ$2:$AJ$205,'Raw Data'!$A$2:$A$205,"Ar",'Raw Data'!$B$2:$B$205,"CC",'Raw Data'!$C$2:$C$205,50))</f>
        <v>8.01781077086616E-008</v>
      </c>
      <c r="E31" s="10" t="n">
        <f aca="false">IF(COUNTIFS('Raw Data'!$A$2:$A$205,"Ar",'Raw Data'!$B$2:$B$205,"GL",'Raw Data'!$C$2:$C$205,50)=0,"",SUMIFS('Raw Data'!$AJ$2:$AJ$205,'Raw Data'!$A$2:$A$205,"Ar",'Raw Data'!$B$2:$B$205,"GL",'Raw Data'!$C$2:$C$205,50))</f>
        <v>2.78694045618977E-008</v>
      </c>
      <c r="F31" s="10" t="n">
        <f aca="false">IF(COUNTIFS('Raw Data'!$A$2:$A$205,"Ar",'Raw Data'!$B$2:$B$205,"Algebraic",'Raw Data'!$C$2:$C$205,50)=0,"",SUMIFS('Raw Data'!$AJ$2:$AJ$205,'Raw Data'!$A$2:$A$205,"Ar",'Raw Data'!$B$2:$B$205,"Algebraic",'Raw Data'!$C$2:$C$205,50))</f>
        <v>0.000488997976006544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7" t="s">
        <v>54</v>
      </c>
    </row>
    <row r="2" customFormat="false" ht="15" hidden="false" customHeight="false" outlineLevel="0" collapsed="false">
      <c r="A2" s="6" t="s">
        <v>48</v>
      </c>
    </row>
    <row r="4" customFormat="false" ht="15" hidden="false" customHeight="false" outlineLevel="0" collapsed="false">
      <c r="A4" s="8" t="s">
        <v>49</v>
      </c>
    </row>
    <row r="5" customFormat="false" ht="15" hidden="false" customHeight="false" outlineLevel="0" collapsed="false">
      <c r="A5" s="1" t="s">
        <v>50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</row>
    <row r="6" customFormat="false" ht="15" hidden="false" customHeight="false" outlineLevel="0" collapsed="false">
      <c r="A6" s="9" t="n">
        <v>5</v>
      </c>
      <c r="B6" s="10" t="n">
        <f aca="false">IF(COUNTIFS('Raw Data'!$A$2:$A$205,"Zn",'Raw Data'!$B$2:$B$205,"Midpoint",'Raw Data'!$C$2:$C$205,5)=0,"",SUMIFS('Raw Data'!$T$2:$T$205,'Raw Data'!$A$2:$A$205,"Zn",'Raw Data'!$B$2:$B$205,"Midpoint",'Raw Data'!$C$2:$C$205,5))</f>
        <v>0.0438515860519146</v>
      </c>
      <c r="C6" s="10" t="n">
        <f aca="false">IF(COUNTIFS('Raw Data'!$A$2:$A$205,"Zn",'Raw Data'!$B$2:$B$205,"Trapezoidal",'Raw Data'!$C$2:$C$205,5)=0,"",SUMIFS('Raw Data'!$T$2:$T$205,'Raw Data'!$A$2:$A$205,"Zn",'Raw Data'!$B$2:$B$205,"Trapezoidal",'Raw Data'!$C$2:$C$205,5))</f>
        <v>0.00220897750796212</v>
      </c>
      <c r="D6" s="10" t="n">
        <f aca="false">IF(COUNTIFS('Raw Data'!$A$2:$A$205,"Zn",'Raw Data'!$B$2:$B$205,"CC",'Raw Data'!$C$2:$C$205,5)=0,"",SUMIFS('Raw Data'!$T$2:$T$205,'Raw Data'!$A$2:$A$205,"Zn",'Raw Data'!$B$2:$B$205,"CC",'Raw Data'!$C$2:$C$205,5))</f>
        <v>0.0150274198140323</v>
      </c>
      <c r="E6" s="10" t="n">
        <f aca="false">IF(COUNTIFS('Raw Data'!$A$2:$A$205,"Zn",'Raw Data'!$B$2:$B$205,"GL",'Raw Data'!$C$2:$C$205,5)=0,"",SUMIFS('Raw Data'!$T$2:$T$205,'Raw Data'!$A$2:$A$205,"Zn",'Raw Data'!$B$2:$B$205,"GL",'Raw Data'!$C$2:$C$205,5))</f>
        <v>0.050055807309036</v>
      </c>
      <c r="F6" s="10" t="n">
        <f aca="false">IF(COUNTIFS('Raw Data'!$A$2:$A$205,"Zn",'Raw Data'!$B$2:$B$205,"Algebraic",'Raw Data'!$C$2:$C$205,5)=0,"",SUMIFS('Raw Data'!$T$2:$T$205,'Raw Data'!$A$2:$A$205,"Zn",'Raw Data'!$B$2:$B$205,"Algebraic",'Raw Data'!$C$2:$C$205,5))</f>
        <v>0.209160757808831</v>
      </c>
    </row>
    <row r="7" customFormat="false" ht="15" hidden="false" customHeight="false" outlineLevel="0" collapsed="false">
      <c r="A7" s="9" t="n">
        <v>10</v>
      </c>
      <c r="B7" s="10" t="n">
        <f aca="false">IF(COUNTIFS('Raw Data'!$A$2:$A$205,"Zn",'Raw Data'!$B$2:$B$205,"Midpoint",'Raw Data'!$C$2:$C$205,10)=0,"",SUMIFS('Raw Data'!$T$2:$T$205,'Raw Data'!$A$2:$A$205,"Zn",'Raw Data'!$B$2:$B$205,"Midpoint",'Raw Data'!$C$2:$C$205,10))</f>
        <v>0.0273130099387799</v>
      </c>
      <c r="C7" s="10" t="n">
        <f aca="false">IF(COUNTIFS('Raw Data'!$A$2:$A$205,"Zn",'Raw Data'!$B$2:$B$205,"Trapezoidal",'Raw Data'!$C$2:$C$205,10)=0,"",SUMIFS('Raw Data'!$T$2:$T$205,'Raw Data'!$A$2:$A$205,"Zn",'Raw Data'!$B$2:$B$205,"Trapezoidal",'Raw Data'!$C$2:$C$205,10))</f>
        <v>0.00549245974207224</v>
      </c>
      <c r="D7" s="10" t="n">
        <f aca="false">IF(COUNTIFS('Raw Data'!$A$2:$A$205,"Zn",'Raw Data'!$B$2:$B$205,"CC",'Raw Data'!$C$2:$C$205,10)=0,"",SUMIFS('Raw Data'!$T$2:$T$205,'Raw Data'!$A$2:$A$205,"Zn",'Raw Data'!$B$2:$B$205,"CC",'Raw Data'!$C$2:$C$205,10))</f>
        <v>0.0661662443640125</v>
      </c>
      <c r="E7" s="10" t="n">
        <f aca="false">IF(COUNTIFS('Raw Data'!$A$2:$A$205,"Zn",'Raw Data'!$B$2:$B$205,"GL",'Raw Data'!$C$2:$C$205,10)=0,"",SUMIFS('Raw Data'!$T$2:$T$205,'Raw Data'!$A$2:$A$205,"Zn",'Raw Data'!$B$2:$B$205,"GL",'Raw Data'!$C$2:$C$205,10))</f>
        <v>0.0147448990339853</v>
      </c>
      <c r="F7" s="10" t="n">
        <f aca="false">IF(COUNTIFS('Raw Data'!$A$2:$A$205,"Zn",'Raw Data'!$B$2:$B$205,"Algebraic",'Raw Data'!$C$2:$C$205,10)=0,"",SUMIFS('Raw Data'!$T$2:$T$205,'Raw Data'!$A$2:$A$205,"Zn",'Raw Data'!$B$2:$B$205,"Algebraic",'Raw Data'!$C$2:$C$205,10))</f>
        <v>0.0213266821829166</v>
      </c>
    </row>
    <row r="8" customFormat="false" ht="15" hidden="false" customHeight="false" outlineLevel="0" collapsed="false">
      <c r="A8" s="9" t="n">
        <v>15</v>
      </c>
      <c r="B8" s="10" t="n">
        <f aca="false">IF(COUNTIFS('Raw Data'!$A$2:$A$205,"Zn",'Raw Data'!$B$2:$B$205,"Midpoint",'Raw Data'!$C$2:$C$205,15)=0,"",SUMIFS('Raw Data'!$T$2:$T$205,'Raw Data'!$A$2:$A$205,"Zn",'Raw Data'!$B$2:$B$205,"Midpoint",'Raw Data'!$C$2:$C$205,15))</f>
        <v>8.76466749559768E-005</v>
      </c>
      <c r="C8" s="10" t="n">
        <f aca="false">IF(COUNTIFS('Raw Data'!$A$2:$A$205,"Zn",'Raw Data'!$B$2:$B$205,"Trapezoidal",'Raw Data'!$C$2:$C$205,15)=0,"",SUMIFS('Raw Data'!$T$2:$T$205,'Raw Data'!$A$2:$A$205,"Zn",'Raw Data'!$B$2:$B$205,"Trapezoidal",'Raw Data'!$C$2:$C$205,15))</f>
        <v>0.000606157995889589</v>
      </c>
      <c r="D8" s="10" t="n">
        <f aca="false">IF(COUNTIFS('Raw Data'!$A$2:$A$205,"Zn",'Raw Data'!$B$2:$B$205,"CC",'Raw Data'!$C$2:$C$205,15)=0,"",SUMIFS('Raw Data'!$T$2:$T$205,'Raw Data'!$A$2:$A$205,"Zn",'Raw Data'!$B$2:$B$205,"CC",'Raw Data'!$C$2:$C$205,15))</f>
        <v>0.00660521412805792</v>
      </c>
      <c r="E8" s="10" t="n">
        <f aca="false">IF(COUNTIFS('Raw Data'!$A$2:$A$205,"Zn",'Raw Data'!$B$2:$B$205,"GL",'Raw Data'!$C$2:$C$205,15)=0,"",SUMIFS('Raw Data'!$T$2:$T$205,'Raw Data'!$A$2:$A$205,"Zn",'Raw Data'!$B$2:$B$205,"GL",'Raw Data'!$C$2:$C$205,15))</f>
        <v>0.0112860308890959</v>
      </c>
      <c r="F8" s="10" t="n">
        <f aca="false">IF(COUNTIFS('Raw Data'!$A$2:$A$205,"Zn",'Raw Data'!$B$2:$B$205,"Algebraic",'Raw Data'!$C$2:$C$205,15)=0,"",SUMIFS('Raw Data'!$T$2:$T$205,'Raw Data'!$A$2:$A$205,"Zn",'Raw Data'!$B$2:$B$205,"Algebraic",'Raw Data'!$C$2:$C$205,15))</f>
        <v>0.0130904064999413</v>
      </c>
    </row>
    <row r="9" customFormat="false" ht="15" hidden="false" customHeight="false" outlineLevel="0" collapsed="false">
      <c r="A9" s="9" t="n">
        <v>20</v>
      </c>
      <c r="B9" s="10" t="n">
        <f aca="false">IF(COUNTIFS('Raw Data'!$A$2:$A$205,"Zn",'Raw Data'!$B$2:$B$205,"Midpoint",'Raw Data'!$C$2:$C$205,20)=0,"",SUMIFS('Raw Data'!$T$2:$T$205,'Raw Data'!$A$2:$A$205,"Zn",'Raw Data'!$B$2:$B$205,"Midpoint",'Raw Data'!$C$2:$C$205,20))</f>
        <v>0.00012710423493445</v>
      </c>
      <c r="C9" s="10" t="n">
        <f aca="false">IF(COUNTIFS('Raw Data'!$A$2:$A$205,"Zn",'Raw Data'!$B$2:$B$205,"Trapezoidal",'Raw Data'!$C$2:$C$205,20)=0,"",SUMIFS('Raw Data'!$T$2:$T$205,'Raw Data'!$A$2:$A$205,"Zn",'Raw Data'!$B$2:$B$205,"Trapezoidal",'Raw Data'!$C$2:$C$205,20))</f>
        <v>1.15067368824384E-005</v>
      </c>
      <c r="D9" s="10" t="n">
        <f aca="false">IF(COUNTIFS('Raw Data'!$A$2:$A$205,"Zn",'Raw Data'!$B$2:$B$205,"CC",'Raw Data'!$C$2:$C$205,20)=0,"",SUMIFS('Raw Data'!$T$2:$T$205,'Raw Data'!$A$2:$A$205,"Zn",'Raw Data'!$B$2:$B$205,"CC",'Raw Data'!$C$2:$C$205,20))</f>
        <v>0.00154473638599484</v>
      </c>
      <c r="E9" s="10" t="n">
        <f aca="false">IF(COUNTIFS('Raw Data'!$A$2:$A$205,"Zn",'Raw Data'!$B$2:$B$205,"GL",'Raw Data'!$C$2:$C$205,20)=0,"",SUMIFS('Raw Data'!$T$2:$T$205,'Raw Data'!$A$2:$A$205,"Zn",'Raw Data'!$B$2:$B$205,"GL",'Raw Data'!$C$2:$C$205,20))</f>
        <v>0.000883568201970775</v>
      </c>
      <c r="F9" s="10" t="n">
        <f aca="false">IF(COUNTIFS('Raw Data'!$A$2:$A$205,"Zn",'Raw Data'!$B$2:$B$205,"Algebraic",'Raw Data'!$C$2:$C$205,20)=0,"",SUMIFS('Raw Data'!$T$2:$T$205,'Raw Data'!$A$2:$A$205,"Zn",'Raw Data'!$B$2:$B$205,"Algebraic",'Raw Data'!$C$2:$C$205,20))</f>
        <v>0.00198716696013435</v>
      </c>
    </row>
    <row r="10" customFormat="false" ht="15" hidden="false" customHeight="false" outlineLevel="0" collapsed="false">
      <c r="A10" s="9" t="n">
        <v>30</v>
      </c>
      <c r="B10" s="10" t="n">
        <f aca="false">IF(COUNTIFS('Raw Data'!$A$2:$A$205,"Zn",'Raw Data'!$B$2:$B$205,"Midpoint",'Raw Data'!$C$2:$C$205,30)=0,"",SUMIFS('Raw Data'!$T$2:$T$205,'Raw Data'!$A$2:$A$205,"Zn",'Raw Data'!$B$2:$B$205,"Midpoint",'Raw Data'!$C$2:$C$205,30))</f>
        <v>7.08600964571815E-007</v>
      </c>
      <c r="C10" s="10" t="n">
        <f aca="false">IF(COUNTIFS('Raw Data'!$A$2:$A$205,"Zn",'Raw Data'!$B$2:$B$205,"Trapezoidal",'Raw Data'!$C$2:$C$205,30)=0,"",SUMIFS('Raw Data'!$T$2:$T$205,'Raw Data'!$A$2:$A$205,"Zn",'Raw Data'!$B$2:$B$205,"Trapezoidal",'Raw Data'!$C$2:$C$205,30))</f>
        <v>1.11062036012299E-007</v>
      </c>
      <c r="D10" s="10" t="n">
        <f aca="false">IF(COUNTIFS('Raw Data'!$A$2:$A$205,"Zn",'Raw Data'!$B$2:$B$205,"CC",'Raw Data'!$C$2:$C$205,30)=0,"",SUMIFS('Raw Data'!$T$2:$T$205,'Raw Data'!$A$2:$A$205,"Zn",'Raw Data'!$B$2:$B$205,"CC",'Raw Data'!$C$2:$C$205,30))</f>
        <v>1.31887620682392E-005</v>
      </c>
      <c r="E10" s="10" t="n">
        <f aca="false">IF(COUNTIFS('Raw Data'!$A$2:$A$205,"Zn",'Raw Data'!$B$2:$B$205,"GL",'Raw Data'!$C$2:$C$205,30)=0,"",SUMIFS('Raw Data'!$T$2:$T$205,'Raw Data'!$A$2:$A$205,"Zn",'Raw Data'!$B$2:$B$205,"GL",'Raw Data'!$C$2:$C$205,30))</f>
        <v>4.06550659590721E-005</v>
      </c>
      <c r="F10" s="10" t="n">
        <f aca="false">IF(COUNTIFS('Raw Data'!$A$2:$A$205,"Zn",'Raw Data'!$B$2:$B$205,"Algebraic",'Raw Data'!$C$2:$C$205,30)=0,"",SUMIFS('Raw Data'!$T$2:$T$205,'Raw Data'!$A$2:$A$205,"Zn",'Raw Data'!$B$2:$B$205,"Algebraic",'Raw Data'!$C$2:$C$205,30))</f>
        <v>0.00942785466804708</v>
      </c>
    </row>
    <row r="11" customFormat="false" ht="15" hidden="false" customHeight="false" outlineLevel="0" collapsed="false">
      <c r="A11" s="9" t="n">
        <v>50</v>
      </c>
      <c r="B11" s="10" t="n">
        <f aca="false">IF(COUNTIFS('Raw Data'!$A$2:$A$205,"Zn",'Raw Data'!$B$2:$B$205,"Midpoint",'Raw Data'!$C$2:$C$205,50)=0,"",SUMIFS('Raw Data'!$T$2:$T$205,'Raw Data'!$A$2:$A$205,"Zn",'Raw Data'!$B$2:$B$205,"Midpoint",'Raw Data'!$C$2:$C$205,50))</f>
        <v>3.38786776410416E-011</v>
      </c>
      <c r="C11" s="10" t="n">
        <f aca="false">IF(COUNTIFS('Raw Data'!$A$2:$A$205,"Zn",'Raw Data'!$B$2:$B$205,"Trapezoidal",'Raw Data'!$C$2:$C$205,50)=0,"",SUMIFS('Raw Data'!$T$2:$T$205,'Raw Data'!$A$2:$A$205,"Zn",'Raw Data'!$B$2:$B$205,"Trapezoidal",'Raw Data'!$C$2:$C$205,50))</f>
        <v>1.29602995002642E-011</v>
      </c>
      <c r="D11" s="10" t="n">
        <f aca="false">IF(COUNTIFS('Raw Data'!$A$2:$A$205,"Zn",'Raw Data'!$B$2:$B$205,"CC",'Raw Data'!$C$2:$C$205,50)=0,"",SUMIFS('Raw Data'!$T$2:$T$205,'Raw Data'!$A$2:$A$205,"Zn",'Raw Data'!$B$2:$B$205,"CC",'Raw Data'!$C$2:$C$205,50))</f>
        <v>1.63640834216494E-008</v>
      </c>
      <c r="E11" s="10" t="n">
        <f aca="false">IF(COUNTIFS('Raw Data'!$A$2:$A$205,"Zn",'Raw Data'!$B$2:$B$205,"GL",'Raw Data'!$C$2:$C$205,50)=0,"",SUMIFS('Raw Data'!$T$2:$T$205,'Raw Data'!$A$2:$A$205,"Zn",'Raw Data'!$B$2:$B$205,"GL",'Raw Data'!$C$2:$C$205,50))</f>
        <v>1.80011738848407E-009</v>
      </c>
      <c r="F11" s="10" t="n">
        <f aca="false">IF(COUNTIFS('Raw Data'!$A$2:$A$205,"Zn",'Raw Data'!$B$2:$B$205,"Algebraic",'Raw Data'!$C$2:$C$205,50)=0,"",SUMIFS('Raw Data'!$T$2:$T$205,'Raw Data'!$A$2:$A$205,"Zn",'Raw Data'!$B$2:$B$205,"Algebraic",'Raw Data'!$C$2:$C$205,50))</f>
        <v>0.0023011720879822</v>
      </c>
    </row>
    <row r="14" customFormat="false" ht="15" hidden="false" customHeight="false" outlineLevel="0" collapsed="false">
      <c r="A14" s="8" t="s">
        <v>51</v>
      </c>
    </row>
    <row r="15" customFormat="false" ht="15" hidden="false" customHeight="false" outlineLevel="0" collapsed="false">
      <c r="A15" s="1" t="s">
        <v>50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</row>
    <row r="16" customFormat="false" ht="15" hidden="false" customHeight="false" outlineLevel="0" collapsed="false">
      <c r="A16" s="9" t="n">
        <v>5</v>
      </c>
      <c r="B16" s="10" t="n">
        <f aca="false">IF(COUNTIFS('Raw Data'!$A$2:$A$205,"Zn",'Raw Data'!$B$2:$B$205,"Midpoint",'Raw Data'!$C$2:$C$205,5)=0,"",SUMIFS('Raw Data'!$U$2:$U$205,'Raw Data'!$A$2:$A$205,"Zn",'Raw Data'!$B$2:$B$205,"Midpoint",'Raw Data'!$C$2:$C$205,5))</f>
        <v>0.0106475532347488</v>
      </c>
      <c r="C16" s="10" t="n">
        <f aca="false">IF(COUNTIFS('Raw Data'!$A$2:$A$205,"Zn",'Raw Data'!$B$2:$B$205,"Trapezoidal",'Raw Data'!$C$2:$C$205,5)=0,"",SUMIFS('Raw Data'!$U$2:$U$205,'Raw Data'!$A$2:$A$205,"Zn",'Raw Data'!$B$2:$B$205,"Trapezoidal",'Raw Data'!$C$2:$C$205,5))</f>
        <v>0.0018700807897063</v>
      </c>
      <c r="D16" s="10" t="n">
        <f aca="false">IF(COUNTIFS('Raw Data'!$A$2:$A$205,"Zn",'Raw Data'!$B$2:$B$205,"CC",'Raw Data'!$C$2:$C$205,5)=0,"",SUMIFS('Raw Data'!$U$2:$U$205,'Raw Data'!$A$2:$A$205,"Zn",'Raw Data'!$B$2:$B$205,"CC",'Raw Data'!$C$2:$C$205,5))</f>
        <v>0.00541232985789497</v>
      </c>
      <c r="E16" s="10" t="n">
        <f aca="false">IF(COUNTIFS('Raw Data'!$A$2:$A$205,"Zn",'Raw Data'!$B$2:$B$205,"GL",'Raw Data'!$C$2:$C$205,5)=0,"",SUMIFS('Raw Data'!$U$2:$U$205,'Raw Data'!$A$2:$A$205,"Zn",'Raw Data'!$B$2:$B$205,"GL",'Raw Data'!$C$2:$C$205,5))</f>
        <v>0.0481373501600872</v>
      </c>
      <c r="F16" s="10" t="n">
        <f aca="false">IF(COUNTIFS('Raw Data'!$A$2:$A$205,"Zn",'Raw Data'!$B$2:$B$205,"Algebraic",'Raw Data'!$C$2:$C$205,5)=0,"",SUMIFS('Raw Data'!$U$2:$U$205,'Raw Data'!$A$2:$A$205,"Zn",'Raw Data'!$B$2:$B$205,"Algebraic",'Raw Data'!$C$2:$C$205,5))</f>
        <v>0.209577105925844</v>
      </c>
    </row>
    <row r="17" customFormat="false" ht="15" hidden="false" customHeight="false" outlineLevel="0" collapsed="false">
      <c r="A17" s="9" t="n">
        <v>10</v>
      </c>
      <c r="B17" s="10" t="n">
        <f aca="false">IF(COUNTIFS('Raw Data'!$A$2:$A$205,"Zn",'Raw Data'!$B$2:$B$205,"Midpoint",'Raw Data'!$C$2:$C$205,10)=0,"",SUMIFS('Raw Data'!$U$2:$U$205,'Raw Data'!$A$2:$A$205,"Zn",'Raw Data'!$B$2:$B$205,"Midpoint",'Raw Data'!$C$2:$C$205,10))</f>
        <v>0.0241753386815669</v>
      </c>
      <c r="C17" s="10" t="n">
        <f aca="false">IF(COUNTIFS('Raw Data'!$A$2:$A$205,"Zn",'Raw Data'!$B$2:$B$205,"Trapezoidal",'Raw Data'!$C$2:$C$205,10)=0,"",SUMIFS('Raw Data'!$U$2:$U$205,'Raw Data'!$A$2:$A$205,"Zn",'Raw Data'!$B$2:$B$205,"Trapezoidal",'Raw Data'!$C$2:$C$205,10))</f>
        <v>0.00319964688018404</v>
      </c>
      <c r="D17" s="10" t="n">
        <f aca="false">IF(COUNTIFS('Raw Data'!$A$2:$A$205,"Zn",'Raw Data'!$B$2:$B$205,"CC",'Raw Data'!$C$2:$C$205,10)=0,"",SUMIFS('Raw Data'!$U$2:$U$205,'Raw Data'!$A$2:$A$205,"Zn",'Raw Data'!$B$2:$B$205,"CC",'Raw Data'!$C$2:$C$205,10))</f>
        <v>0.0619730296014391</v>
      </c>
      <c r="E17" s="10" t="n">
        <f aca="false">IF(COUNTIFS('Raw Data'!$A$2:$A$205,"Zn",'Raw Data'!$B$2:$B$205,"GL",'Raw Data'!$C$2:$C$205,10)=0,"",SUMIFS('Raw Data'!$U$2:$U$205,'Raw Data'!$A$2:$A$205,"Zn",'Raw Data'!$B$2:$B$205,"GL",'Raw Data'!$C$2:$C$205,10))</f>
        <v>0.01509278752855</v>
      </c>
      <c r="F17" s="10" t="n">
        <f aca="false">IF(COUNTIFS('Raw Data'!$A$2:$A$205,"Zn",'Raw Data'!$B$2:$B$205,"Algebraic",'Raw Data'!$C$2:$C$205,10)=0,"",SUMIFS('Raw Data'!$U$2:$U$205,'Raw Data'!$A$2:$A$205,"Zn",'Raw Data'!$B$2:$B$205,"Algebraic",'Raw Data'!$C$2:$C$205,10))</f>
        <v>0.0212949436147771</v>
      </c>
    </row>
    <row r="18" customFormat="false" ht="15" hidden="false" customHeight="false" outlineLevel="0" collapsed="false">
      <c r="A18" s="9" t="n">
        <v>15</v>
      </c>
      <c r="B18" s="10" t="n">
        <f aca="false">IF(COUNTIFS('Raw Data'!$A$2:$A$205,"Zn",'Raw Data'!$B$2:$B$205,"Midpoint",'Raw Data'!$C$2:$C$205,15)=0,"",SUMIFS('Raw Data'!$U$2:$U$205,'Raw Data'!$A$2:$A$205,"Zn",'Raw Data'!$B$2:$B$205,"Midpoint",'Raw Data'!$C$2:$C$205,15))</f>
        <v>0.0011101621805123</v>
      </c>
      <c r="C18" s="10" t="n">
        <f aca="false">IF(COUNTIFS('Raw Data'!$A$2:$A$205,"Zn",'Raw Data'!$B$2:$B$205,"Trapezoidal",'Raw Data'!$C$2:$C$205,15)=0,"",SUMIFS('Raw Data'!$U$2:$U$205,'Raw Data'!$A$2:$A$205,"Zn",'Raw Data'!$B$2:$B$205,"Trapezoidal",'Raw Data'!$C$2:$C$205,15))</f>
        <v>0.000677473716088173</v>
      </c>
      <c r="D18" s="10" t="n">
        <f aca="false">IF(COUNTIFS('Raw Data'!$A$2:$A$205,"Zn",'Raw Data'!$B$2:$B$205,"CC",'Raw Data'!$C$2:$C$205,15)=0,"",SUMIFS('Raw Data'!$U$2:$U$205,'Raw Data'!$A$2:$A$205,"Zn",'Raw Data'!$B$2:$B$205,"CC",'Raw Data'!$C$2:$C$205,15))</f>
        <v>0.00659967371104386</v>
      </c>
      <c r="E18" s="10" t="n">
        <f aca="false">IF(COUNTIFS('Raw Data'!$A$2:$A$205,"Zn",'Raw Data'!$B$2:$B$205,"GL",'Raw Data'!$C$2:$C$205,15)=0,"",SUMIFS('Raw Data'!$U$2:$U$205,'Raw Data'!$A$2:$A$205,"Zn",'Raw Data'!$B$2:$B$205,"GL",'Raw Data'!$C$2:$C$205,15))</f>
        <v>0.011143793663968</v>
      </c>
      <c r="F18" s="10" t="n">
        <f aca="false">IF(COUNTIFS('Raw Data'!$A$2:$A$205,"Zn",'Raw Data'!$B$2:$B$205,"Algebraic",'Raw Data'!$C$2:$C$205,15)=0,"",SUMIFS('Raw Data'!$U$2:$U$205,'Raw Data'!$A$2:$A$205,"Zn",'Raw Data'!$B$2:$B$205,"Algebraic",'Raw Data'!$C$2:$C$205,15))</f>
        <v>0.013056586138068</v>
      </c>
    </row>
    <row r="19" customFormat="false" ht="15" hidden="false" customHeight="false" outlineLevel="0" collapsed="false">
      <c r="A19" s="9" t="n">
        <v>20</v>
      </c>
      <c r="B19" s="10" t="n">
        <f aca="false">IF(COUNTIFS('Raw Data'!$A$2:$A$205,"Zn",'Raw Data'!$B$2:$B$205,"Midpoint",'Raw Data'!$C$2:$C$205,20)=0,"",SUMIFS('Raw Data'!$U$2:$U$205,'Raw Data'!$A$2:$A$205,"Zn",'Raw Data'!$B$2:$B$205,"Midpoint",'Raw Data'!$C$2:$C$205,20))</f>
        <v>9.54619658313227E-005</v>
      </c>
      <c r="C19" s="10" t="n">
        <f aca="false">IF(COUNTIFS('Raw Data'!$A$2:$A$205,"Zn",'Raw Data'!$B$2:$B$205,"Trapezoidal",'Raw Data'!$C$2:$C$205,20)=0,"",SUMIFS('Raw Data'!$U$2:$U$205,'Raw Data'!$A$2:$A$205,"Zn",'Raw Data'!$B$2:$B$205,"Trapezoidal",'Raw Data'!$C$2:$C$205,20))</f>
        <v>0.000274366488957956</v>
      </c>
      <c r="D19" s="10" t="n">
        <f aca="false">IF(COUNTIFS('Raw Data'!$A$2:$A$205,"Zn",'Raw Data'!$B$2:$B$205,"CC",'Raw Data'!$C$2:$C$205,20)=0,"",SUMIFS('Raw Data'!$U$2:$U$205,'Raw Data'!$A$2:$A$205,"Zn",'Raw Data'!$B$2:$B$205,"CC",'Raw Data'!$C$2:$C$205,20))</f>
        <v>0.00156237788215785</v>
      </c>
      <c r="E19" s="10" t="n">
        <f aca="false">IF(COUNTIFS('Raw Data'!$A$2:$A$205,"Zn",'Raw Data'!$B$2:$B$205,"GL",'Raw Data'!$C$2:$C$205,20)=0,"",SUMIFS('Raw Data'!$U$2:$U$205,'Raw Data'!$A$2:$A$205,"Zn",'Raw Data'!$B$2:$B$205,"GL",'Raw Data'!$C$2:$C$205,20))</f>
        <v>0.00089422136357431</v>
      </c>
      <c r="F19" s="10" t="n">
        <f aca="false">IF(COUNTIFS('Raw Data'!$A$2:$A$205,"Zn",'Raw Data'!$B$2:$B$205,"Algebraic",'Raw Data'!$C$2:$C$205,20)=0,"",SUMIFS('Raw Data'!$U$2:$U$205,'Raw Data'!$A$2:$A$205,"Zn",'Raw Data'!$B$2:$B$205,"Algebraic",'Raw Data'!$C$2:$C$205,20))</f>
        <v>0.00200011619129592</v>
      </c>
    </row>
    <row r="20" customFormat="false" ht="15" hidden="false" customHeight="false" outlineLevel="0" collapsed="false">
      <c r="A20" s="9" t="n">
        <v>30</v>
      </c>
      <c r="B20" s="10" t="n">
        <f aca="false">IF(COUNTIFS('Raw Data'!$A$2:$A$205,"Zn",'Raw Data'!$B$2:$B$205,"Midpoint",'Raw Data'!$C$2:$C$205,30)=0,"",SUMIFS('Raw Data'!$U$2:$U$205,'Raw Data'!$A$2:$A$205,"Zn",'Raw Data'!$B$2:$B$205,"Midpoint",'Raw Data'!$C$2:$C$205,30))</f>
        <v>3.70391857629215E-006</v>
      </c>
      <c r="C20" s="10" t="n">
        <f aca="false">IF(COUNTIFS('Raw Data'!$A$2:$A$205,"Zn",'Raw Data'!$B$2:$B$205,"Trapezoidal",'Raw Data'!$C$2:$C$205,30)=0,"",SUMIFS('Raw Data'!$U$2:$U$205,'Raw Data'!$A$2:$A$205,"Zn",'Raw Data'!$B$2:$B$205,"Trapezoidal",'Raw Data'!$C$2:$C$205,30))</f>
        <v>6.58604575232147E-006</v>
      </c>
      <c r="D20" s="10" t="n">
        <f aca="false">IF(COUNTIFS('Raw Data'!$A$2:$A$205,"Zn",'Raw Data'!$B$2:$B$205,"CC",'Raw Data'!$C$2:$C$205,30)=0,"",SUMIFS('Raw Data'!$U$2:$U$205,'Raw Data'!$A$2:$A$205,"Zn",'Raw Data'!$B$2:$B$205,"CC",'Raw Data'!$C$2:$C$205,30))</f>
        <v>1.28020651510852E-005</v>
      </c>
      <c r="E20" s="10" t="n">
        <f aca="false">IF(COUNTIFS('Raw Data'!$A$2:$A$205,"Zn",'Raw Data'!$B$2:$B$205,"GL",'Raw Data'!$C$2:$C$205,30)=0,"",SUMIFS('Raw Data'!$U$2:$U$205,'Raw Data'!$A$2:$A$205,"Zn",'Raw Data'!$B$2:$B$205,"GL",'Raw Data'!$C$2:$C$205,30))</f>
        <v>4.06620297859206E-005</v>
      </c>
      <c r="F20" s="10" t="n">
        <f aca="false">IF(COUNTIFS('Raw Data'!$A$2:$A$205,"Zn",'Raw Data'!$B$2:$B$205,"Algebraic",'Raw Data'!$C$2:$C$205,30)=0,"",SUMIFS('Raw Data'!$U$2:$U$205,'Raw Data'!$A$2:$A$205,"Zn",'Raw Data'!$B$2:$B$205,"Algebraic",'Raw Data'!$C$2:$C$205,30))</f>
        <v>0.00943252517825988</v>
      </c>
    </row>
    <row r="21" customFormat="false" ht="15" hidden="false" customHeight="false" outlineLevel="0" collapsed="false">
      <c r="A21" s="9" t="n">
        <v>50</v>
      </c>
      <c r="B21" s="10" t="n">
        <f aca="false">IF(COUNTIFS('Raw Data'!$A$2:$A$205,"Zn",'Raw Data'!$B$2:$B$205,"Midpoint",'Raw Data'!$C$2:$C$205,50)=0,"",SUMIFS('Raw Data'!$U$2:$U$205,'Raw Data'!$A$2:$A$205,"Zn",'Raw Data'!$B$2:$B$205,"Midpoint",'Raw Data'!$C$2:$C$205,50))</f>
        <v>9.41000166676531E-010</v>
      </c>
      <c r="C21" s="10" t="n">
        <f aca="false">IF(COUNTIFS('Raw Data'!$A$2:$A$205,"Zn",'Raw Data'!$B$2:$B$205,"Trapezoidal",'Raw Data'!$C$2:$C$205,50)=0,"",SUMIFS('Raw Data'!$U$2:$U$205,'Raw Data'!$A$2:$A$205,"Zn",'Raw Data'!$B$2:$B$205,"Trapezoidal",'Raw Data'!$C$2:$C$205,50))</f>
        <v>1.42187017715401E-009</v>
      </c>
      <c r="D21" s="10" t="n">
        <f aca="false">IF(COUNTIFS('Raw Data'!$A$2:$A$205,"Zn",'Raw Data'!$B$2:$B$205,"CC",'Raw Data'!$C$2:$C$205,50)=0,"",SUMIFS('Raw Data'!$U$2:$U$205,'Raw Data'!$A$2:$A$205,"Zn",'Raw Data'!$B$2:$B$205,"CC",'Raw Data'!$C$2:$C$205,50))</f>
        <v>1.58731179311644E-008</v>
      </c>
      <c r="E21" s="10" t="n">
        <f aca="false">IF(COUNTIFS('Raw Data'!$A$2:$A$205,"Zn",'Raw Data'!$B$2:$B$205,"GL",'Raw Data'!$C$2:$C$205,50)=0,"",SUMIFS('Raw Data'!$U$2:$U$205,'Raw Data'!$A$2:$A$205,"Zn",'Raw Data'!$B$2:$B$205,"GL",'Raw Data'!$C$2:$C$205,50))</f>
        <v>1.73250791490887E-009</v>
      </c>
      <c r="F21" s="10" t="n">
        <f aca="false">IF(COUNTIFS('Raw Data'!$A$2:$A$205,"Zn",'Raw Data'!$B$2:$B$205,"Algebraic",'Raw Data'!$C$2:$C$205,50)=0,"",SUMIFS('Raw Data'!$U$2:$U$205,'Raw Data'!$A$2:$A$205,"Zn",'Raw Data'!$B$2:$B$205,"Algebraic",'Raw Data'!$C$2:$C$205,50))</f>
        <v>0.00230193593737393</v>
      </c>
    </row>
    <row r="24" customFormat="false" ht="15" hidden="false" customHeight="false" outlineLevel="0" collapsed="false">
      <c r="A24" s="8" t="s">
        <v>52</v>
      </c>
    </row>
    <row r="25" customFormat="false" ht="15" hidden="false" customHeight="false" outlineLevel="0" collapsed="false">
      <c r="A25" s="1" t="s">
        <v>50</v>
      </c>
      <c r="B25" s="1" t="s">
        <v>37</v>
      </c>
      <c r="C25" s="1" t="s">
        <v>38</v>
      </c>
      <c r="D25" s="1" t="s">
        <v>39</v>
      </c>
      <c r="E25" s="1" t="s">
        <v>40</v>
      </c>
      <c r="F25" s="1" t="s">
        <v>41</v>
      </c>
    </row>
    <row r="26" customFormat="false" ht="15" hidden="false" customHeight="false" outlineLevel="0" collapsed="false">
      <c r="A26" s="9" t="n">
        <v>5</v>
      </c>
      <c r="B26" s="10" t="n">
        <f aca="false">IF(COUNTIFS('Raw Data'!$A$2:$A$205,"Zn",'Raw Data'!$B$2:$B$205,"Midpoint",'Raw Data'!$C$2:$C$205,5)=0,"",SUMIFS('Raw Data'!$AJ$2:$AJ$205,'Raw Data'!$A$2:$A$205,"Zn",'Raw Data'!$B$2:$B$205,"Midpoint",'Raw Data'!$C$2:$C$205,5))</f>
        <v>0.041714555909536</v>
      </c>
      <c r="C26" s="10" t="n">
        <f aca="false">IF(COUNTIFS('Raw Data'!$A$2:$A$205,"Zn",'Raw Data'!$B$2:$B$205,"Trapezoidal",'Raw Data'!$C$2:$C$205,5)=0,"",SUMIFS('Raw Data'!$AJ$2:$AJ$205,'Raw Data'!$A$2:$A$205,"Zn",'Raw Data'!$B$2:$B$205,"Trapezoidal",'Raw Data'!$C$2:$C$205,5))</f>
        <v>0.209918552317149</v>
      </c>
      <c r="D26" s="10" t="n">
        <f aca="false">IF(COUNTIFS('Raw Data'!$A$2:$A$205,"Zn",'Raw Data'!$B$2:$B$205,"CC",'Raw Data'!$C$2:$C$205,5)=0,"",SUMIFS('Raw Data'!$AJ$2:$AJ$205,'Raw Data'!$A$2:$A$205,"Zn",'Raw Data'!$B$2:$B$205,"CC",'Raw Data'!$C$2:$C$205,5))</f>
        <v>0.0822984665207969</v>
      </c>
      <c r="E26" s="10" t="n">
        <f aca="false">IF(COUNTIFS('Raw Data'!$A$2:$A$205,"Zn",'Raw Data'!$B$2:$B$205,"GL",'Raw Data'!$C$2:$C$205,5)=0,"",SUMIFS('Raw Data'!$AJ$2:$AJ$205,'Raw Data'!$A$2:$A$205,"Zn",'Raw Data'!$B$2:$B$205,"GL",'Raw Data'!$C$2:$C$205,5))</f>
        <v>0.101824193072972</v>
      </c>
      <c r="F26" s="10" t="n">
        <f aca="false">IF(COUNTIFS('Raw Data'!$A$2:$A$205,"Zn",'Raw Data'!$B$2:$B$205,"Algebraic",'Raw Data'!$C$2:$C$205,5)=0,"",SUMIFS('Raw Data'!$AJ$2:$AJ$205,'Raw Data'!$A$2:$A$205,"Zn",'Raw Data'!$B$2:$B$205,"Algebraic",'Raw Data'!$C$2:$C$205,5))</f>
        <v>0.070993637543495</v>
      </c>
    </row>
    <row r="27" customFormat="false" ht="15" hidden="false" customHeight="false" outlineLevel="0" collapsed="false">
      <c r="A27" s="9" t="n">
        <v>10</v>
      </c>
      <c r="B27" s="10" t="n">
        <f aca="false">IF(COUNTIFS('Raw Data'!$A$2:$A$205,"Zn",'Raw Data'!$B$2:$B$205,"Midpoint",'Raw Data'!$C$2:$C$205,10)=0,"",SUMIFS('Raw Data'!$AJ$2:$AJ$205,'Raw Data'!$A$2:$A$205,"Zn",'Raw Data'!$B$2:$B$205,"Midpoint",'Raw Data'!$C$2:$C$205,10))</f>
        <v>0.00820752843600303</v>
      </c>
      <c r="C27" s="10" t="n">
        <f aca="false">IF(COUNTIFS('Raw Data'!$A$2:$A$205,"Zn",'Raw Data'!$B$2:$B$205,"Trapezoidal",'Raw Data'!$C$2:$C$205,10)=0,"",SUMIFS('Raw Data'!$AJ$2:$AJ$205,'Raw Data'!$A$2:$A$205,"Zn",'Raw Data'!$B$2:$B$205,"Trapezoidal",'Raw Data'!$C$2:$C$205,10))</f>
        <v>0.0399940814419095</v>
      </c>
      <c r="D27" s="10" t="n">
        <f aca="false">IF(COUNTIFS('Raw Data'!$A$2:$A$205,"Zn",'Raw Data'!$B$2:$B$205,"CC",'Raw Data'!$C$2:$C$205,10)=0,"",SUMIFS('Raw Data'!$AJ$2:$AJ$205,'Raw Data'!$A$2:$A$205,"Zn",'Raw Data'!$B$2:$B$205,"CC",'Raw Data'!$C$2:$C$205,10))</f>
        <v>0.0276164070880611</v>
      </c>
      <c r="E27" s="10" t="n">
        <f aca="false">IF(COUNTIFS('Raw Data'!$A$2:$A$205,"Zn",'Raw Data'!$B$2:$B$205,"GL",'Raw Data'!$C$2:$C$205,10)=0,"",SUMIFS('Raw Data'!$AJ$2:$AJ$205,'Raw Data'!$A$2:$A$205,"Zn",'Raw Data'!$B$2:$B$205,"GL",'Raw Data'!$C$2:$C$205,10))</f>
        <v>0.0121432889567643</v>
      </c>
      <c r="F27" s="10" t="n">
        <f aca="false">IF(COUNTIFS('Raw Data'!$A$2:$A$205,"Zn",'Raw Data'!$B$2:$B$205,"Algebraic",'Raw Data'!$C$2:$C$205,10)=0,"",SUMIFS('Raw Data'!$AJ$2:$AJ$205,'Raw Data'!$A$2:$A$205,"Zn",'Raw Data'!$B$2:$B$205,"Algebraic",'Raw Data'!$C$2:$C$205,10))</f>
        <v>0.0254789213281583</v>
      </c>
    </row>
    <row r="28" customFormat="false" ht="15" hidden="false" customHeight="false" outlineLevel="0" collapsed="false">
      <c r="A28" s="9" t="n">
        <v>15</v>
      </c>
      <c r="B28" s="10" t="n">
        <f aca="false">IF(COUNTIFS('Raw Data'!$A$2:$A$205,"Zn",'Raw Data'!$B$2:$B$205,"Midpoint",'Raw Data'!$C$2:$C$205,15)=0,"",SUMIFS('Raw Data'!$AJ$2:$AJ$205,'Raw Data'!$A$2:$A$205,"Zn",'Raw Data'!$B$2:$B$205,"Midpoint",'Raw Data'!$C$2:$C$205,15))</f>
        <v>0.0201387004573377</v>
      </c>
      <c r="C28" s="10" t="n">
        <f aca="false">IF(COUNTIFS('Raw Data'!$A$2:$A$205,"Zn",'Raw Data'!$B$2:$B$205,"Trapezoidal",'Raw Data'!$C$2:$C$205,15)=0,"",SUMIFS('Raw Data'!$AJ$2:$AJ$205,'Raw Data'!$A$2:$A$205,"Zn",'Raw Data'!$B$2:$B$205,"Trapezoidal",'Raw Data'!$C$2:$C$205,15))</f>
        <v>0.0224151315068468</v>
      </c>
      <c r="D28" s="10" t="n">
        <f aca="false">IF(COUNTIFS('Raw Data'!$A$2:$A$205,"Zn",'Raw Data'!$B$2:$B$205,"CC",'Raw Data'!$C$2:$C$205,15)=0,"",SUMIFS('Raw Data'!$AJ$2:$AJ$205,'Raw Data'!$A$2:$A$205,"Zn",'Raw Data'!$B$2:$B$205,"CC",'Raw Data'!$C$2:$C$205,15))</f>
        <v>0.015718265094165</v>
      </c>
      <c r="E28" s="10" t="n">
        <f aca="false">IF(COUNTIFS('Raw Data'!$A$2:$A$205,"Zn",'Raw Data'!$B$2:$B$205,"GL",'Raw Data'!$C$2:$C$205,15)=0,"",SUMIFS('Raw Data'!$AJ$2:$AJ$205,'Raw Data'!$A$2:$A$205,"Zn",'Raw Data'!$B$2:$B$205,"GL",'Raw Data'!$C$2:$C$205,15))</f>
        <v>0.00511776981424816</v>
      </c>
      <c r="F28" s="10" t="n">
        <f aca="false">IF(COUNTIFS('Raw Data'!$A$2:$A$205,"Zn",'Raw Data'!$B$2:$B$205,"Algebraic",'Raw Data'!$C$2:$C$205,15)=0,"",SUMIFS('Raw Data'!$AJ$2:$AJ$205,'Raw Data'!$A$2:$A$205,"Zn",'Raw Data'!$B$2:$B$205,"Algebraic",'Raw Data'!$C$2:$C$205,15))</f>
        <v>0.032539506677665</v>
      </c>
    </row>
    <row r="29" customFormat="false" ht="15" hidden="false" customHeight="false" outlineLevel="0" collapsed="false">
      <c r="A29" s="9" t="n">
        <v>20</v>
      </c>
      <c r="B29" s="10" t="n">
        <f aca="false">IF(COUNTIFS('Raw Data'!$A$2:$A$205,"Zn",'Raw Data'!$B$2:$B$205,"Midpoint",'Raw Data'!$C$2:$C$205,20)=0,"",SUMIFS('Raw Data'!$AJ$2:$AJ$205,'Raw Data'!$A$2:$A$205,"Zn",'Raw Data'!$B$2:$B$205,"Midpoint",'Raw Data'!$C$2:$C$205,20))</f>
        <v>0.0124702378318489</v>
      </c>
      <c r="C29" s="10" t="n">
        <f aca="false">IF(COUNTIFS('Raw Data'!$A$2:$A$205,"Zn",'Raw Data'!$B$2:$B$205,"Trapezoidal",'Raw Data'!$C$2:$C$205,20)=0,"",SUMIFS('Raw Data'!$AJ$2:$AJ$205,'Raw Data'!$A$2:$A$205,"Zn",'Raw Data'!$B$2:$B$205,"Trapezoidal",'Raw Data'!$C$2:$C$205,20))</f>
        <v>0.0144195265735194</v>
      </c>
      <c r="D29" s="10" t="n">
        <f aca="false">IF(COUNTIFS('Raw Data'!$A$2:$A$205,"Zn",'Raw Data'!$B$2:$B$205,"CC",'Raw Data'!$C$2:$C$205,20)=0,"",SUMIFS('Raw Data'!$AJ$2:$AJ$205,'Raw Data'!$A$2:$A$205,"Zn",'Raw Data'!$B$2:$B$205,"CC",'Raw Data'!$C$2:$C$205,20))</f>
        <v>0.00209766624726626</v>
      </c>
      <c r="E29" s="10" t="n">
        <f aca="false">IF(COUNTIFS('Raw Data'!$A$2:$A$205,"Zn",'Raw Data'!$B$2:$B$205,"GL",'Raw Data'!$C$2:$C$205,20)=0,"",SUMIFS('Raw Data'!$AJ$2:$AJ$205,'Raw Data'!$A$2:$A$205,"Zn",'Raw Data'!$B$2:$B$205,"GL",'Raw Data'!$C$2:$C$205,20))</f>
        <v>0.00136117081700604</v>
      </c>
      <c r="F29" s="10" t="n">
        <f aca="false">IF(COUNTIFS('Raw Data'!$A$2:$A$205,"Zn",'Raw Data'!$B$2:$B$205,"Algebraic",'Raw Data'!$C$2:$C$205,20)=0,"",SUMIFS('Raw Data'!$AJ$2:$AJ$205,'Raw Data'!$A$2:$A$205,"Zn",'Raw Data'!$B$2:$B$205,"Algebraic",'Raw Data'!$C$2:$C$205,20))</f>
        <v>0.0229164965201676</v>
      </c>
    </row>
    <row r="30" customFormat="false" ht="15" hidden="false" customHeight="false" outlineLevel="0" collapsed="false">
      <c r="A30" s="9" t="n">
        <v>30</v>
      </c>
      <c r="B30" s="10" t="n">
        <f aca="false">IF(COUNTIFS('Raw Data'!$A$2:$A$205,"Zn",'Raw Data'!$B$2:$B$205,"Midpoint",'Raw Data'!$C$2:$C$205,30)=0,"",SUMIFS('Raw Data'!$AJ$2:$AJ$205,'Raw Data'!$A$2:$A$205,"Zn",'Raw Data'!$B$2:$B$205,"Midpoint",'Raw Data'!$C$2:$C$205,30))</f>
        <v>0.000266664699665853</v>
      </c>
      <c r="C30" s="10" t="n">
        <f aca="false">IF(COUNTIFS('Raw Data'!$A$2:$A$205,"Zn",'Raw Data'!$B$2:$B$205,"Trapezoidal",'Raw Data'!$C$2:$C$205,30)=0,"",SUMIFS('Raw Data'!$AJ$2:$AJ$205,'Raw Data'!$A$2:$A$205,"Zn",'Raw Data'!$B$2:$B$205,"Trapezoidal",'Raw Data'!$C$2:$C$205,30))</f>
        <v>0.000478513031396233</v>
      </c>
      <c r="D30" s="10" t="n">
        <f aca="false">IF(COUNTIFS('Raw Data'!$A$2:$A$205,"Zn",'Raw Data'!$B$2:$B$205,"CC",'Raw Data'!$C$2:$C$205,30)=0,"",SUMIFS('Raw Data'!$AJ$2:$AJ$205,'Raw Data'!$A$2:$A$205,"Zn",'Raw Data'!$B$2:$B$205,"CC",'Raw Data'!$C$2:$C$205,30))</f>
        <v>0.000216621805634531</v>
      </c>
      <c r="E30" s="10" t="n">
        <f aca="false">IF(COUNTIFS('Raw Data'!$A$2:$A$205,"Zn",'Raw Data'!$B$2:$B$205,"GL",'Raw Data'!$C$2:$C$205,30)=0,"",SUMIFS('Raw Data'!$AJ$2:$AJ$205,'Raw Data'!$A$2:$A$205,"Zn",'Raw Data'!$B$2:$B$205,"GL",'Raw Data'!$C$2:$C$205,30))</f>
        <v>4.86380161461852E-005</v>
      </c>
      <c r="F30" s="10" t="n">
        <f aca="false">IF(COUNTIFS('Raw Data'!$A$2:$A$205,"Zn",'Raw Data'!$B$2:$B$205,"Algebraic",'Raw Data'!$C$2:$C$205,30)=0,"",SUMIFS('Raw Data'!$AJ$2:$AJ$205,'Raw Data'!$A$2:$A$205,"Zn",'Raw Data'!$B$2:$B$205,"Algebraic",'Raw Data'!$C$2:$C$205,30))</f>
        <v>0.00424434020970921</v>
      </c>
    </row>
    <row r="31" customFormat="false" ht="15" hidden="false" customHeight="false" outlineLevel="0" collapsed="false">
      <c r="A31" s="9" t="n">
        <v>50</v>
      </c>
      <c r="B31" s="10" t="n">
        <f aca="false">IF(COUNTIFS('Raw Data'!$A$2:$A$205,"Zn",'Raw Data'!$B$2:$B$205,"Midpoint",'Raw Data'!$C$2:$C$205,50)=0,"",SUMIFS('Raw Data'!$AJ$2:$AJ$205,'Raw Data'!$A$2:$A$205,"Zn",'Raw Data'!$B$2:$B$205,"Midpoint",'Raw Data'!$C$2:$C$205,50))</f>
        <v>1.25652945826005E-008</v>
      </c>
      <c r="C31" s="10" t="n">
        <f aca="false">IF(COUNTIFS('Raw Data'!$A$2:$A$205,"Zn",'Raw Data'!$B$2:$B$205,"Trapezoidal",'Raw Data'!$C$2:$C$205,50)=0,"",SUMIFS('Raw Data'!$AJ$2:$AJ$205,'Raw Data'!$A$2:$A$205,"Zn",'Raw Data'!$B$2:$B$205,"Trapezoidal",'Raw Data'!$C$2:$C$205,50))</f>
        <v>3.74004294201313E-009</v>
      </c>
      <c r="D31" s="10" t="n">
        <f aca="false">IF(COUNTIFS('Raw Data'!$A$2:$A$205,"Zn",'Raw Data'!$B$2:$B$205,"CC",'Raw Data'!$C$2:$C$205,50)=0,"",SUMIFS('Raw Data'!$AJ$2:$AJ$205,'Raw Data'!$A$2:$A$205,"Zn",'Raw Data'!$B$2:$B$205,"CC",'Raw Data'!$C$2:$C$205,50))</f>
        <v>2.18272418806009E-007</v>
      </c>
      <c r="E31" s="10" t="n">
        <f aca="false">IF(COUNTIFS('Raw Data'!$A$2:$A$205,"Zn",'Raw Data'!$B$2:$B$205,"GL",'Raw Data'!$C$2:$C$205,50)=0,"",SUMIFS('Raw Data'!$AJ$2:$AJ$205,'Raw Data'!$A$2:$A$205,"Zn",'Raw Data'!$B$2:$B$205,"GL",'Raw Data'!$C$2:$C$205,50))</f>
        <v>1.98547368768232E-007</v>
      </c>
      <c r="F31" s="10" t="n">
        <f aca="false">IF(COUNTIFS('Raw Data'!$A$2:$A$205,"Zn",'Raw Data'!$B$2:$B$205,"Algebraic",'Raw Data'!$C$2:$C$205,50)=0,"",SUMIFS('Raw Data'!$AJ$2:$AJ$205,'Raw Data'!$A$2:$A$205,"Zn",'Raw Data'!$B$2:$B$205,"Algebraic",'Raw Data'!$C$2:$C$205,50))</f>
        <v>0.00200070938063845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7" t="s">
        <v>55</v>
      </c>
    </row>
    <row r="2" customFormat="false" ht="15" hidden="false" customHeight="false" outlineLevel="0" collapsed="false">
      <c r="A2" s="6" t="s">
        <v>48</v>
      </c>
    </row>
    <row r="4" customFormat="false" ht="15" hidden="false" customHeight="false" outlineLevel="0" collapsed="false">
      <c r="A4" s="8" t="s">
        <v>49</v>
      </c>
    </row>
    <row r="5" customFormat="false" ht="15" hidden="false" customHeight="false" outlineLevel="0" collapsed="false">
      <c r="A5" s="1" t="s">
        <v>50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</row>
    <row r="6" customFormat="false" ht="15" hidden="false" customHeight="false" outlineLevel="0" collapsed="false">
      <c r="A6" s="9" t="n">
        <v>5</v>
      </c>
      <c r="B6" s="10" t="n">
        <f aca="false">IF(COUNTIFS('Raw Data'!$A$2:$A$205,"Mo",'Raw Data'!$B$2:$B$205,"Midpoint",'Raw Data'!$C$2:$C$205,5)=0,"",SUMIFS('Raw Data'!$T$2:$T$205,'Raw Data'!$A$2:$A$205,"Mo",'Raw Data'!$B$2:$B$205,"Midpoint",'Raw Data'!$C$2:$C$205,5))</f>
        <v>0.151823854182112</v>
      </c>
      <c r="C6" s="10" t="n">
        <f aca="false">IF(COUNTIFS('Raw Data'!$A$2:$A$205,"Mo",'Raw Data'!$B$2:$B$205,"Trapezoidal",'Raw Data'!$C$2:$C$205,5)=0,"",SUMIFS('Raw Data'!$T$2:$T$205,'Raw Data'!$A$2:$A$205,"Mo",'Raw Data'!$B$2:$B$205,"Trapezoidal",'Raw Data'!$C$2:$C$205,5))</f>
        <v>0.271777801843655</v>
      </c>
      <c r="D6" s="10" t="n">
        <f aca="false">IF(COUNTIFS('Raw Data'!$A$2:$A$205,"Mo",'Raw Data'!$B$2:$B$205,"CC",'Raw Data'!$C$2:$C$205,5)=0,"",SUMIFS('Raw Data'!$T$2:$T$205,'Raw Data'!$A$2:$A$205,"Mo",'Raw Data'!$B$2:$B$205,"CC",'Raw Data'!$C$2:$C$205,5))</f>
        <v>0.810514342058013</v>
      </c>
      <c r="E6" s="10" t="n">
        <f aca="false">IF(COUNTIFS('Raw Data'!$A$2:$A$205,"Mo",'Raw Data'!$B$2:$B$205,"GL",'Raw Data'!$C$2:$C$205,5)=0,"",SUMIFS('Raw Data'!$T$2:$T$205,'Raw Data'!$A$2:$A$205,"Mo",'Raw Data'!$B$2:$B$205,"GL",'Raw Data'!$C$2:$C$205,5))</f>
        <v>0.236342300817796</v>
      </c>
      <c r="F6" s="10" t="n">
        <f aca="false">IF(COUNTIFS('Raw Data'!$A$2:$A$205,"Mo",'Raw Data'!$B$2:$B$205,"Algebraic",'Raw Data'!$C$2:$C$205,5)=0,"",SUMIFS('Raw Data'!$T$2:$T$205,'Raw Data'!$A$2:$A$205,"Mo",'Raw Data'!$B$2:$B$205,"Algebraic",'Raw Data'!$C$2:$C$205,5))</f>
        <v>0.353253545883945</v>
      </c>
    </row>
    <row r="7" customFormat="false" ht="15" hidden="false" customHeight="false" outlineLevel="0" collapsed="false">
      <c r="A7" s="9" t="n">
        <v>10</v>
      </c>
      <c r="B7" s="10" t="n">
        <f aca="false">IF(COUNTIFS('Raw Data'!$A$2:$A$205,"Mo",'Raw Data'!$B$2:$B$205,"Midpoint",'Raw Data'!$C$2:$C$205,10)=0,"",SUMIFS('Raw Data'!$T$2:$T$205,'Raw Data'!$A$2:$A$205,"Mo",'Raw Data'!$B$2:$B$205,"Midpoint",'Raw Data'!$C$2:$C$205,10))</f>
        <v>0.00703900948883529</v>
      </c>
      <c r="C7" s="10" t="n">
        <f aca="false">IF(COUNTIFS('Raw Data'!$A$2:$A$205,"Mo",'Raw Data'!$B$2:$B$205,"Trapezoidal",'Raw Data'!$C$2:$C$205,10)=0,"",SUMIFS('Raw Data'!$T$2:$T$205,'Raw Data'!$A$2:$A$205,"Mo",'Raw Data'!$B$2:$B$205,"Trapezoidal",'Raw Data'!$C$2:$C$205,10))</f>
        <v>0.0770256947857888</v>
      </c>
      <c r="D7" s="10" t="n">
        <f aca="false">IF(COUNTIFS('Raw Data'!$A$2:$A$205,"Mo",'Raw Data'!$B$2:$B$205,"CC",'Raw Data'!$C$2:$C$205,10)=0,"",SUMIFS('Raw Data'!$T$2:$T$205,'Raw Data'!$A$2:$A$205,"Mo",'Raw Data'!$B$2:$B$205,"CC",'Raw Data'!$C$2:$C$205,10))</f>
        <v>0.0619146004028153</v>
      </c>
      <c r="E7" s="10" t="n">
        <f aca="false">IF(COUNTIFS('Raw Data'!$A$2:$A$205,"Mo",'Raw Data'!$B$2:$B$205,"GL",'Raw Data'!$C$2:$C$205,10)=0,"",SUMIFS('Raw Data'!$T$2:$T$205,'Raw Data'!$A$2:$A$205,"Mo",'Raw Data'!$B$2:$B$205,"GL",'Raw Data'!$C$2:$C$205,10))</f>
        <v>0.083010434865173</v>
      </c>
      <c r="F7" s="10" t="n">
        <f aca="false">IF(COUNTIFS('Raw Data'!$A$2:$A$205,"Mo",'Raw Data'!$B$2:$B$205,"Algebraic",'Raw Data'!$C$2:$C$205,10)=0,"",SUMIFS('Raw Data'!$T$2:$T$205,'Raw Data'!$A$2:$A$205,"Mo",'Raw Data'!$B$2:$B$205,"Algebraic",'Raw Data'!$C$2:$C$205,10))</f>
        <v>0.0848807912957454</v>
      </c>
    </row>
    <row r="8" customFormat="false" ht="15" hidden="false" customHeight="false" outlineLevel="0" collapsed="false">
      <c r="A8" s="9" t="n">
        <v>15</v>
      </c>
      <c r="B8" s="10" t="n">
        <f aca="false">IF(COUNTIFS('Raw Data'!$A$2:$A$205,"Mo",'Raw Data'!$B$2:$B$205,"Midpoint",'Raw Data'!$C$2:$C$205,15)=0,"",SUMIFS('Raw Data'!$T$2:$T$205,'Raw Data'!$A$2:$A$205,"Mo",'Raw Data'!$B$2:$B$205,"Midpoint",'Raw Data'!$C$2:$C$205,15))</f>
        <v>0.00120363696169079</v>
      </c>
      <c r="C8" s="10" t="n">
        <f aca="false">IF(COUNTIFS('Raw Data'!$A$2:$A$205,"Mo",'Raw Data'!$B$2:$B$205,"Trapezoidal",'Raw Data'!$C$2:$C$205,15)=0,"",SUMIFS('Raw Data'!$T$2:$T$205,'Raw Data'!$A$2:$A$205,"Mo",'Raw Data'!$B$2:$B$205,"Trapezoidal",'Raw Data'!$C$2:$C$205,15))</f>
        <v>0.0011720475531547</v>
      </c>
      <c r="D8" s="10" t="n">
        <f aca="false">IF(COUNTIFS('Raw Data'!$A$2:$A$205,"Mo",'Raw Data'!$B$2:$B$205,"CC",'Raw Data'!$C$2:$C$205,15)=0,"",SUMIFS('Raw Data'!$T$2:$T$205,'Raw Data'!$A$2:$A$205,"Mo",'Raw Data'!$B$2:$B$205,"CC",'Raw Data'!$C$2:$C$205,15))</f>
        <v>0.0452699925140223</v>
      </c>
      <c r="E8" s="10" t="n">
        <f aca="false">IF(COUNTIFS('Raw Data'!$A$2:$A$205,"Mo",'Raw Data'!$B$2:$B$205,"GL",'Raw Data'!$C$2:$C$205,15)=0,"",SUMIFS('Raw Data'!$T$2:$T$205,'Raw Data'!$A$2:$A$205,"Mo",'Raw Data'!$B$2:$B$205,"GL",'Raw Data'!$C$2:$C$205,15))</f>
        <v>0.00196488875735668</v>
      </c>
      <c r="F8" s="10" t="n">
        <f aca="false">IF(COUNTIFS('Raw Data'!$A$2:$A$205,"Mo",'Raw Data'!$B$2:$B$205,"Algebraic",'Raw Data'!$C$2:$C$205,15)=0,"",SUMIFS('Raw Data'!$T$2:$T$205,'Raw Data'!$A$2:$A$205,"Mo",'Raw Data'!$B$2:$B$205,"Algebraic",'Raw Data'!$C$2:$C$205,15))</f>
        <v>0.0108951917595732</v>
      </c>
    </row>
    <row r="9" customFormat="false" ht="15" hidden="false" customHeight="false" outlineLevel="0" collapsed="false">
      <c r="A9" s="9" t="n">
        <v>20</v>
      </c>
      <c r="B9" s="10" t="n">
        <f aca="false">IF(COUNTIFS('Raw Data'!$A$2:$A$205,"Mo",'Raw Data'!$B$2:$B$205,"Midpoint",'Raw Data'!$C$2:$C$205,20)=0,"",SUMIFS('Raw Data'!$T$2:$T$205,'Raw Data'!$A$2:$A$205,"Mo",'Raw Data'!$B$2:$B$205,"Midpoint",'Raw Data'!$C$2:$C$205,20))</f>
        <v>6.23414780420717E-005</v>
      </c>
      <c r="C9" s="10" t="n">
        <f aca="false">IF(COUNTIFS('Raw Data'!$A$2:$A$205,"Mo",'Raw Data'!$B$2:$B$205,"Trapezoidal",'Raw Data'!$C$2:$C$205,20)=0,"",SUMIFS('Raw Data'!$T$2:$T$205,'Raw Data'!$A$2:$A$205,"Mo",'Raw Data'!$B$2:$B$205,"Trapezoidal",'Raw Data'!$C$2:$C$205,20))</f>
        <v>0.00031023168730826</v>
      </c>
      <c r="D9" s="10" t="n">
        <f aca="false">IF(COUNTIFS('Raw Data'!$A$2:$A$205,"Mo",'Raw Data'!$B$2:$B$205,"CC",'Raw Data'!$C$2:$C$205,20)=0,"",SUMIFS('Raw Data'!$T$2:$T$205,'Raw Data'!$A$2:$A$205,"Mo",'Raw Data'!$B$2:$B$205,"CC",'Raw Data'!$C$2:$C$205,20))</f>
        <v>0.00704786373216848</v>
      </c>
      <c r="E9" s="10" t="n">
        <f aca="false">IF(COUNTIFS('Raw Data'!$A$2:$A$205,"Mo",'Raw Data'!$B$2:$B$205,"GL",'Raw Data'!$C$2:$C$205,20)=0,"",SUMIFS('Raw Data'!$T$2:$T$205,'Raw Data'!$A$2:$A$205,"Mo",'Raw Data'!$B$2:$B$205,"GL",'Raw Data'!$C$2:$C$205,20))</f>
        <v>0.000770262091009499</v>
      </c>
      <c r="F9" s="10" t="n">
        <f aca="false">IF(COUNTIFS('Raw Data'!$A$2:$A$205,"Mo",'Raw Data'!$B$2:$B$205,"Algebraic",'Raw Data'!$C$2:$C$205,20)=0,"",SUMIFS('Raw Data'!$T$2:$T$205,'Raw Data'!$A$2:$A$205,"Mo",'Raw Data'!$B$2:$B$205,"Algebraic",'Raw Data'!$C$2:$C$205,20))</f>
        <v>0.00985513360183177</v>
      </c>
    </row>
    <row r="10" customFormat="false" ht="15" hidden="false" customHeight="false" outlineLevel="0" collapsed="false">
      <c r="A10" s="9" t="n">
        <v>30</v>
      </c>
      <c r="B10" s="10" t="n">
        <f aca="false">IF(COUNTIFS('Raw Data'!$A$2:$A$205,"Mo",'Raw Data'!$B$2:$B$205,"Midpoint",'Raw Data'!$C$2:$C$205,30)=0,"",SUMIFS('Raw Data'!$T$2:$T$205,'Raw Data'!$A$2:$A$205,"Mo",'Raw Data'!$B$2:$B$205,"Midpoint",'Raw Data'!$C$2:$C$205,30))</f>
        <v>2.77817207461339E-006</v>
      </c>
      <c r="C10" s="10" t="n">
        <f aca="false">IF(COUNTIFS('Raw Data'!$A$2:$A$205,"Mo",'Raw Data'!$B$2:$B$205,"Trapezoidal",'Raw Data'!$C$2:$C$205,30)=0,"",SUMIFS('Raw Data'!$T$2:$T$205,'Raw Data'!$A$2:$A$205,"Mo",'Raw Data'!$B$2:$B$205,"Trapezoidal",'Raw Data'!$C$2:$C$205,30))</f>
        <v>4.38931238022633E-008</v>
      </c>
      <c r="D10" s="10" t="n">
        <f aca="false">IF(COUNTIFS('Raw Data'!$A$2:$A$205,"Mo",'Raw Data'!$B$2:$B$205,"CC",'Raw Data'!$C$2:$C$205,30)=0,"",SUMIFS('Raw Data'!$T$2:$T$205,'Raw Data'!$A$2:$A$205,"Mo",'Raw Data'!$B$2:$B$205,"CC",'Raw Data'!$C$2:$C$205,30))</f>
        <v>0.000141285169320327</v>
      </c>
      <c r="E10" s="10" t="n">
        <f aca="false">IF(COUNTIFS('Raw Data'!$A$2:$A$205,"Mo",'Raw Data'!$B$2:$B$205,"GL",'Raw Data'!$C$2:$C$205,30)=0,"",SUMIFS('Raw Data'!$T$2:$T$205,'Raw Data'!$A$2:$A$205,"Mo",'Raw Data'!$B$2:$B$205,"GL",'Raw Data'!$C$2:$C$205,30))</f>
        <v>8.78177543199854E-005</v>
      </c>
      <c r="F10" s="10" t="n">
        <f aca="false">IF(COUNTIFS('Raw Data'!$A$2:$A$205,"Mo",'Raw Data'!$B$2:$B$205,"Algebraic",'Raw Data'!$C$2:$C$205,30)=0,"",SUMIFS('Raw Data'!$T$2:$T$205,'Raw Data'!$A$2:$A$205,"Mo",'Raw Data'!$B$2:$B$205,"Algebraic",'Raw Data'!$C$2:$C$205,30))</f>
        <v>0.00499092346217367</v>
      </c>
    </row>
    <row r="11" customFormat="false" ht="15" hidden="false" customHeight="false" outlineLevel="0" collapsed="false">
      <c r="A11" s="9" t="n">
        <v>50</v>
      </c>
      <c r="B11" s="10" t="n">
        <f aca="false">IF(COUNTIFS('Raw Data'!$A$2:$A$205,"Mo",'Raw Data'!$B$2:$B$205,"Midpoint",'Raw Data'!$C$2:$C$205,50)=0,"",SUMIFS('Raw Data'!$T$2:$T$205,'Raw Data'!$A$2:$A$205,"Mo",'Raw Data'!$B$2:$B$205,"Midpoint",'Raw Data'!$C$2:$C$205,50))</f>
        <v>6.41193764749914E-011</v>
      </c>
      <c r="C11" s="10" t="n">
        <f aca="false">IF(COUNTIFS('Raw Data'!$A$2:$A$205,"Mo",'Raw Data'!$B$2:$B$205,"Trapezoidal",'Raw Data'!$C$2:$C$205,50)=0,"",SUMIFS('Raw Data'!$T$2:$T$205,'Raw Data'!$A$2:$A$205,"Mo",'Raw Data'!$B$2:$B$205,"Trapezoidal",'Raw Data'!$C$2:$C$205,50))</f>
        <v>3.6015990190208E-010</v>
      </c>
      <c r="D11" s="10" t="n">
        <f aca="false">IF(COUNTIFS('Raw Data'!$A$2:$A$205,"Mo",'Raw Data'!$B$2:$B$205,"CC",'Raw Data'!$C$2:$C$205,50)=0,"",SUMIFS('Raw Data'!$T$2:$T$205,'Raw Data'!$A$2:$A$205,"Mo",'Raw Data'!$B$2:$B$205,"CC",'Raw Data'!$C$2:$C$205,50))</f>
        <v>2.32752881856868E-007</v>
      </c>
      <c r="E11" s="10" t="n">
        <f aca="false">IF(COUNTIFS('Raw Data'!$A$2:$A$205,"Mo",'Raw Data'!$B$2:$B$205,"GL",'Raw Data'!$C$2:$C$205,50)=0,"",SUMIFS('Raw Data'!$T$2:$T$205,'Raw Data'!$A$2:$A$205,"Mo",'Raw Data'!$B$2:$B$205,"GL",'Raw Data'!$C$2:$C$205,50))</f>
        <v>7.8748598753009E-009</v>
      </c>
      <c r="F11" s="10" t="n">
        <f aca="false">IF(COUNTIFS('Raw Data'!$A$2:$A$205,"Mo",'Raw Data'!$B$2:$B$205,"Algebraic",'Raw Data'!$C$2:$C$205,50)=0,"",SUMIFS('Raw Data'!$T$2:$T$205,'Raw Data'!$A$2:$A$205,"Mo",'Raw Data'!$B$2:$B$205,"Algebraic",'Raw Data'!$C$2:$C$205,50))</f>
        <v>0.00679975088905849</v>
      </c>
    </row>
    <row r="14" customFormat="false" ht="15" hidden="false" customHeight="false" outlineLevel="0" collapsed="false">
      <c r="A14" s="8" t="s">
        <v>51</v>
      </c>
    </row>
    <row r="15" customFormat="false" ht="15" hidden="false" customHeight="false" outlineLevel="0" collapsed="false">
      <c r="A15" s="1" t="s">
        <v>50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</row>
    <row r="16" customFormat="false" ht="15" hidden="false" customHeight="false" outlineLevel="0" collapsed="false">
      <c r="A16" s="9" t="n">
        <v>5</v>
      </c>
      <c r="B16" s="10" t="n">
        <f aca="false">IF(COUNTIFS('Raw Data'!$A$2:$A$205,"Mo",'Raw Data'!$B$2:$B$205,"Midpoint",'Raw Data'!$C$2:$C$205,5)=0,"",SUMIFS('Raw Data'!$U$2:$U$205,'Raw Data'!$A$2:$A$205,"Mo",'Raw Data'!$B$2:$B$205,"Midpoint",'Raw Data'!$C$2:$C$205,5))</f>
        <v>0.15585553299719</v>
      </c>
      <c r="C16" s="10" t="n">
        <f aca="false">IF(COUNTIFS('Raw Data'!$A$2:$A$205,"Mo",'Raw Data'!$B$2:$B$205,"Trapezoidal",'Raw Data'!$C$2:$C$205,5)=0,"",SUMIFS('Raw Data'!$U$2:$U$205,'Raw Data'!$A$2:$A$205,"Mo",'Raw Data'!$B$2:$B$205,"Trapezoidal",'Raw Data'!$C$2:$C$205,5))</f>
        <v>0.225010849593351</v>
      </c>
      <c r="D16" s="10" t="n">
        <f aca="false">IF(COUNTIFS('Raw Data'!$A$2:$A$205,"Mo",'Raw Data'!$B$2:$B$205,"CC",'Raw Data'!$C$2:$C$205,5)=0,"",SUMIFS('Raw Data'!$U$2:$U$205,'Raw Data'!$A$2:$A$205,"Mo",'Raw Data'!$B$2:$B$205,"CC",'Raw Data'!$C$2:$C$205,5))</f>
        <v>0.811386267687107</v>
      </c>
      <c r="E16" s="10" t="n">
        <f aca="false">IF(COUNTIFS('Raw Data'!$A$2:$A$205,"Mo",'Raw Data'!$B$2:$B$205,"GL",'Raw Data'!$C$2:$C$205,5)=0,"",SUMIFS('Raw Data'!$U$2:$U$205,'Raw Data'!$A$2:$A$205,"Mo",'Raw Data'!$B$2:$B$205,"GL",'Raw Data'!$C$2:$C$205,5))</f>
        <v>0.223498122005992</v>
      </c>
      <c r="F16" s="10" t="n">
        <f aca="false">IF(COUNTIFS('Raw Data'!$A$2:$A$205,"Mo",'Raw Data'!$B$2:$B$205,"Algebraic",'Raw Data'!$C$2:$C$205,5)=0,"",SUMIFS('Raw Data'!$U$2:$U$205,'Raw Data'!$A$2:$A$205,"Mo",'Raw Data'!$B$2:$B$205,"Algebraic",'Raw Data'!$C$2:$C$205,5))</f>
        <v>0.353362682886988</v>
      </c>
    </row>
    <row r="17" customFormat="false" ht="15" hidden="false" customHeight="false" outlineLevel="0" collapsed="false">
      <c r="A17" s="9" t="n">
        <v>10</v>
      </c>
      <c r="B17" s="10" t="n">
        <f aca="false">IF(COUNTIFS('Raw Data'!$A$2:$A$205,"Mo",'Raw Data'!$B$2:$B$205,"Midpoint",'Raw Data'!$C$2:$C$205,10)=0,"",SUMIFS('Raw Data'!$U$2:$U$205,'Raw Data'!$A$2:$A$205,"Mo",'Raw Data'!$B$2:$B$205,"Midpoint",'Raw Data'!$C$2:$C$205,10))</f>
        <v>0.00664928130756515</v>
      </c>
      <c r="C17" s="10" t="n">
        <f aca="false">IF(COUNTIFS('Raw Data'!$A$2:$A$205,"Mo",'Raw Data'!$B$2:$B$205,"Trapezoidal",'Raw Data'!$C$2:$C$205,10)=0,"",SUMIFS('Raw Data'!$U$2:$U$205,'Raw Data'!$A$2:$A$205,"Mo",'Raw Data'!$B$2:$B$205,"Trapezoidal",'Raw Data'!$C$2:$C$205,10))</f>
        <v>0.0730166465152582</v>
      </c>
      <c r="D17" s="10" t="n">
        <f aca="false">IF(COUNTIFS('Raw Data'!$A$2:$A$205,"Mo",'Raw Data'!$B$2:$B$205,"CC",'Raw Data'!$C$2:$C$205,10)=0,"",SUMIFS('Raw Data'!$U$2:$U$205,'Raw Data'!$A$2:$A$205,"Mo",'Raw Data'!$B$2:$B$205,"CC",'Raw Data'!$C$2:$C$205,10))</f>
        <v>0.058594407766221</v>
      </c>
      <c r="E17" s="10" t="n">
        <f aca="false">IF(COUNTIFS('Raw Data'!$A$2:$A$205,"Mo",'Raw Data'!$B$2:$B$205,"GL",'Raw Data'!$C$2:$C$205,10)=0,"",SUMIFS('Raw Data'!$U$2:$U$205,'Raw Data'!$A$2:$A$205,"Mo",'Raw Data'!$B$2:$B$205,"GL",'Raw Data'!$C$2:$C$205,10))</f>
        <v>0.08216042409479</v>
      </c>
      <c r="F17" s="10" t="n">
        <f aca="false">IF(COUNTIFS('Raw Data'!$A$2:$A$205,"Mo",'Raw Data'!$B$2:$B$205,"Algebraic",'Raw Data'!$C$2:$C$205,10)=0,"",SUMIFS('Raw Data'!$U$2:$U$205,'Raw Data'!$A$2:$A$205,"Mo",'Raw Data'!$B$2:$B$205,"Algebraic",'Raw Data'!$C$2:$C$205,10))</f>
        <v>0.0848402838943079</v>
      </c>
    </row>
    <row r="18" customFormat="false" ht="15" hidden="false" customHeight="false" outlineLevel="0" collapsed="false">
      <c r="A18" s="9" t="n">
        <v>15</v>
      </c>
      <c r="B18" s="10" t="n">
        <f aca="false">IF(COUNTIFS('Raw Data'!$A$2:$A$205,"Mo",'Raw Data'!$B$2:$B$205,"Midpoint",'Raw Data'!$C$2:$C$205,15)=0,"",SUMIFS('Raw Data'!$U$2:$U$205,'Raw Data'!$A$2:$A$205,"Mo",'Raw Data'!$B$2:$B$205,"Midpoint",'Raw Data'!$C$2:$C$205,15))</f>
        <v>0.000991332620312146</v>
      </c>
      <c r="C18" s="10" t="n">
        <f aca="false">IF(COUNTIFS('Raw Data'!$A$2:$A$205,"Mo",'Raw Data'!$B$2:$B$205,"Trapezoidal",'Raw Data'!$C$2:$C$205,15)=0,"",SUMIFS('Raw Data'!$U$2:$U$205,'Raw Data'!$A$2:$A$205,"Mo",'Raw Data'!$B$2:$B$205,"Trapezoidal",'Raw Data'!$C$2:$C$205,15))</f>
        <v>0.00157029770067174</v>
      </c>
      <c r="D18" s="10" t="n">
        <f aca="false">IF(COUNTIFS('Raw Data'!$A$2:$A$205,"Mo",'Raw Data'!$B$2:$B$205,"CC",'Raw Data'!$C$2:$C$205,15)=0,"",SUMIFS('Raw Data'!$U$2:$U$205,'Raw Data'!$A$2:$A$205,"Mo",'Raw Data'!$B$2:$B$205,"CC",'Raw Data'!$C$2:$C$205,15))</f>
        <v>0.0451497196298232</v>
      </c>
      <c r="E18" s="10" t="n">
        <f aca="false">IF(COUNTIFS('Raw Data'!$A$2:$A$205,"Mo",'Raw Data'!$B$2:$B$205,"GL",'Raw Data'!$C$2:$C$205,15)=0,"",SUMIFS('Raw Data'!$U$2:$U$205,'Raw Data'!$A$2:$A$205,"Mo",'Raw Data'!$B$2:$B$205,"GL",'Raw Data'!$C$2:$C$205,15))</f>
        <v>0.001557730518992</v>
      </c>
      <c r="F18" s="10" t="n">
        <f aca="false">IF(COUNTIFS('Raw Data'!$A$2:$A$205,"Mo",'Raw Data'!$B$2:$B$205,"Algebraic",'Raw Data'!$C$2:$C$205,15)=0,"",SUMIFS('Raw Data'!$U$2:$U$205,'Raw Data'!$A$2:$A$205,"Mo",'Raw Data'!$B$2:$B$205,"Algebraic",'Raw Data'!$C$2:$C$205,15))</f>
        <v>0.0108860980088541</v>
      </c>
    </row>
    <row r="19" customFormat="false" ht="15" hidden="false" customHeight="false" outlineLevel="0" collapsed="false">
      <c r="A19" s="9" t="n">
        <v>20</v>
      </c>
      <c r="B19" s="10" t="n">
        <f aca="false">IF(COUNTIFS('Raw Data'!$A$2:$A$205,"Mo",'Raw Data'!$B$2:$B$205,"Midpoint",'Raw Data'!$C$2:$C$205,20)=0,"",SUMIFS('Raw Data'!$U$2:$U$205,'Raw Data'!$A$2:$A$205,"Mo",'Raw Data'!$B$2:$B$205,"Midpoint",'Raw Data'!$C$2:$C$205,20))</f>
        <v>1.24836036849985E-005</v>
      </c>
      <c r="C19" s="10" t="n">
        <f aca="false">IF(COUNTIFS('Raw Data'!$A$2:$A$205,"Mo",'Raw Data'!$B$2:$B$205,"Trapezoidal",'Raw Data'!$C$2:$C$205,20)=0,"",SUMIFS('Raw Data'!$U$2:$U$205,'Raw Data'!$A$2:$A$205,"Mo",'Raw Data'!$B$2:$B$205,"Trapezoidal",'Raw Data'!$C$2:$C$205,20))</f>
        <v>0.000430448902080993</v>
      </c>
      <c r="D19" s="10" t="n">
        <f aca="false">IF(COUNTIFS('Raw Data'!$A$2:$A$205,"Mo",'Raw Data'!$B$2:$B$205,"CC",'Raw Data'!$C$2:$C$205,20)=0,"",SUMIFS('Raw Data'!$U$2:$U$205,'Raw Data'!$A$2:$A$205,"Mo",'Raw Data'!$B$2:$B$205,"CC",'Raw Data'!$C$2:$C$205,20))</f>
        <v>0.0069347703631002</v>
      </c>
      <c r="E19" s="10" t="n">
        <f aca="false">IF(COUNTIFS('Raw Data'!$A$2:$A$205,"Mo",'Raw Data'!$B$2:$B$205,"GL",'Raw Data'!$C$2:$C$205,20)=0,"",SUMIFS('Raw Data'!$U$2:$U$205,'Raw Data'!$A$2:$A$205,"Mo",'Raw Data'!$B$2:$B$205,"GL",'Raw Data'!$C$2:$C$205,20))</f>
        <v>0.000810030209986934</v>
      </c>
      <c r="F19" s="10" t="n">
        <f aca="false">IF(COUNTIFS('Raw Data'!$A$2:$A$205,"Mo",'Raw Data'!$B$2:$B$205,"Algebraic",'Raw Data'!$C$2:$C$205,20)=0,"",SUMIFS('Raw Data'!$U$2:$U$205,'Raw Data'!$A$2:$A$205,"Mo",'Raw Data'!$B$2:$B$205,"Algebraic",'Raw Data'!$C$2:$C$205,20))</f>
        <v>0.00984185472630017</v>
      </c>
    </row>
    <row r="20" customFormat="false" ht="15" hidden="false" customHeight="false" outlineLevel="0" collapsed="false">
      <c r="A20" s="9" t="n">
        <v>30</v>
      </c>
      <c r="B20" s="10" t="n">
        <f aca="false">IF(COUNTIFS('Raw Data'!$A$2:$A$205,"Mo",'Raw Data'!$B$2:$B$205,"Midpoint",'Raw Data'!$C$2:$C$205,30)=0,"",SUMIFS('Raw Data'!$U$2:$U$205,'Raw Data'!$A$2:$A$205,"Mo",'Raw Data'!$B$2:$B$205,"Midpoint",'Raw Data'!$C$2:$C$205,30))</f>
        <v>4.49828946003095E-006</v>
      </c>
      <c r="C20" s="10" t="n">
        <f aca="false">IF(COUNTIFS('Raw Data'!$A$2:$A$205,"Mo",'Raw Data'!$B$2:$B$205,"Trapezoidal",'Raw Data'!$C$2:$C$205,30)=0,"",SUMIFS('Raw Data'!$U$2:$U$205,'Raw Data'!$A$2:$A$205,"Mo",'Raw Data'!$B$2:$B$205,"Trapezoidal",'Raw Data'!$C$2:$C$205,30))</f>
        <v>2.51119219374374E-006</v>
      </c>
      <c r="D20" s="10" t="n">
        <f aca="false">IF(COUNTIFS('Raw Data'!$A$2:$A$205,"Mo",'Raw Data'!$B$2:$B$205,"CC",'Raw Data'!$C$2:$C$205,30)=0,"",SUMIFS('Raw Data'!$U$2:$U$205,'Raw Data'!$A$2:$A$205,"Mo",'Raw Data'!$B$2:$B$205,"CC",'Raw Data'!$C$2:$C$205,30))</f>
        <v>0.000146348780321937</v>
      </c>
      <c r="E20" s="10" t="n">
        <f aca="false">IF(COUNTIFS('Raw Data'!$A$2:$A$205,"Mo",'Raw Data'!$B$2:$B$205,"GL",'Raw Data'!$C$2:$C$205,30)=0,"",SUMIFS('Raw Data'!$U$2:$U$205,'Raw Data'!$A$2:$A$205,"Mo",'Raw Data'!$B$2:$B$205,"GL",'Raw Data'!$C$2:$C$205,30))</f>
        <v>8.66294546848501E-005</v>
      </c>
      <c r="F20" s="10" t="n">
        <f aca="false">IF(COUNTIFS('Raw Data'!$A$2:$A$205,"Mo",'Raw Data'!$B$2:$B$205,"Algebraic",'Raw Data'!$C$2:$C$205,30)=0,"",SUMIFS('Raw Data'!$U$2:$U$205,'Raw Data'!$A$2:$A$205,"Mo",'Raw Data'!$B$2:$B$205,"Algebraic",'Raw Data'!$C$2:$C$205,30))</f>
        <v>0.00499534316273698</v>
      </c>
    </row>
    <row r="21" customFormat="false" ht="15" hidden="false" customHeight="false" outlineLevel="0" collapsed="false">
      <c r="A21" s="9" t="n">
        <v>50</v>
      </c>
      <c r="B21" s="10" t="n">
        <f aca="false">IF(COUNTIFS('Raw Data'!$A$2:$A$205,"Mo",'Raw Data'!$B$2:$B$205,"Midpoint",'Raw Data'!$C$2:$C$205,50)=0,"",SUMIFS('Raw Data'!$U$2:$U$205,'Raw Data'!$A$2:$A$205,"Mo",'Raw Data'!$B$2:$B$205,"Midpoint",'Raw Data'!$C$2:$C$205,50))</f>
        <v>6.76129818799609E-010</v>
      </c>
      <c r="C21" s="10" t="n">
        <f aca="false">IF(COUNTIFS('Raw Data'!$A$2:$A$205,"Mo",'Raw Data'!$B$2:$B$205,"Trapezoidal",'Raw Data'!$C$2:$C$205,50)=0,"",SUMIFS('Raw Data'!$U$2:$U$205,'Raw Data'!$A$2:$A$205,"Mo",'Raw Data'!$B$2:$B$205,"Trapezoidal",'Raw Data'!$C$2:$C$205,50))</f>
        <v>1.27805277472248E-009</v>
      </c>
      <c r="D21" s="10" t="n">
        <f aca="false">IF(COUNTIFS('Raw Data'!$A$2:$A$205,"Mo",'Raw Data'!$B$2:$B$205,"CC",'Raw Data'!$C$2:$C$205,50)=0,"",SUMIFS('Raw Data'!$U$2:$U$205,'Raw Data'!$A$2:$A$205,"Mo",'Raw Data'!$B$2:$B$205,"CC",'Raw Data'!$C$2:$C$205,50))</f>
        <v>2.35586723906778E-007</v>
      </c>
      <c r="E21" s="10" t="n">
        <f aca="false">IF(COUNTIFS('Raw Data'!$A$2:$A$205,"Mo",'Raw Data'!$B$2:$B$205,"GL",'Raw Data'!$C$2:$C$205,50)=0,"",SUMIFS('Raw Data'!$U$2:$U$205,'Raw Data'!$A$2:$A$205,"Mo",'Raw Data'!$B$2:$B$205,"GL",'Raw Data'!$C$2:$C$205,50))</f>
        <v>8.66304183944067E-009</v>
      </c>
      <c r="F21" s="10" t="n">
        <f aca="false">IF(COUNTIFS('Raw Data'!$A$2:$A$205,"Mo",'Raw Data'!$B$2:$B$205,"Algebraic",'Raw Data'!$C$2:$C$205,50)=0,"",SUMIFS('Raw Data'!$U$2:$U$205,'Raw Data'!$A$2:$A$205,"Mo",'Raw Data'!$B$2:$B$205,"Algebraic",'Raw Data'!$C$2:$C$205,50))</f>
        <v>0.00680034915032213</v>
      </c>
    </row>
    <row r="24" customFormat="false" ht="15" hidden="false" customHeight="false" outlineLevel="0" collapsed="false">
      <c r="A24" s="8" t="s">
        <v>52</v>
      </c>
    </row>
    <row r="25" customFormat="false" ht="15" hidden="false" customHeight="false" outlineLevel="0" collapsed="false">
      <c r="A25" s="1" t="s">
        <v>50</v>
      </c>
      <c r="B25" s="1" t="s">
        <v>37</v>
      </c>
      <c r="C25" s="1" t="s">
        <v>38</v>
      </c>
      <c r="D25" s="1" t="s">
        <v>39</v>
      </c>
      <c r="E25" s="1" t="s">
        <v>40</v>
      </c>
      <c r="F25" s="1" t="s">
        <v>41</v>
      </c>
    </row>
    <row r="26" customFormat="false" ht="15" hidden="false" customHeight="false" outlineLevel="0" collapsed="false">
      <c r="A26" s="9" t="n">
        <v>5</v>
      </c>
      <c r="B26" s="10" t="n">
        <f aca="false">IF(COUNTIFS('Raw Data'!$A$2:$A$205,"Mo",'Raw Data'!$B$2:$B$205,"Midpoint",'Raw Data'!$C$2:$C$205,5)=0,"",SUMIFS('Raw Data'!$AJ$2:$AJ$205,'Raw Data'!$A$2:$A$205,"Mo",'Raw Data'!$B$2:$B$205,"Midpoint",'Raw Data'!$C$2:$C$205,5))</f>
        <v>0.107317562497656</v>
      </c>
      <c r="C26" s="10" t="n">
        <f aca="false">IF(COUNTIFS('Raw Data'!$A$2:$A$205,"Mo",'Raw Data'!$B$2:$B$205,"Trapezoidal",'Raw Data'!$C$2:$C$205,5)=0,"",SUMIFS('Raw Data'!$AJ$2:$AJ$205,'Raw Data'!$A$2:$A$205,"Mo",'Raw Data'!$B$2:$B$205,"Trapezoidal",'Raw Data'!$C$2:$C$205,5))</f>
        <v>0.215689230898601</v>
      </c>
      <c r="D26" s="10" t="n">
        <f aca="false">IF(COUNTIFS('Raw Data'!$A$2:$A$205,"Mo",'Raw Data'!$B$2:$B$205,"CC",'Raw Data'!$C$2:$C$205,5)=0,"",SUMIFS('Raw Data'!$AJ$2:$AJ$205,'Raw Data'!$A$2:$A$205,"Mo",'Raw Data'!$B$2:$B$205,"CC",'Raw Data'!$C$2:$C$205,5))</f>
        <v>0.0511968130319929</v>
      </c>
      <c r="E26" s="10" t="n">
        <f aca="false">IF(COUNTIFS('Raw Data'!$A$2:$A$205,"Mo",'Raw Data'!$B$2:$B$205,"GL",'Raw Data'!$C$2:$C$205,5)=0,"",SUMIFS('Raw Data'!$AJ$2:$AJ$205,'Raw Data'!$A$2:$A$205,"Mo",'Raw Data'!$B$2:$B$205,"GL",'Raw Data'!$C$2:$C$205,5))</f>
        <v>0.123307661260199</v>
      </c>
      <c r="F26" s="10" t="n">
        <f aca="false">IF(COUNTIFS('Raw Data'!$A$2:$A$205,"Mo",'Raw Data'!$B$2:$B$205,"Algebraic",'Raw Data'!$C$2:$C$205,5)=0,"",SUMIFS('Raw Data'!$AJ$2:$AJ$205,'Raw Data'!$A$2:$A$205,"Mo",'Raw Data'!$B$2:$B$205,"Algebraic",'Raw Data'!$C$2:$C$205,5))</f>
        <v>0.0316881951698633</v>
      </c>
    </row>
    <row r="27" customFormat="false" ht="15" hidden="false" customHeight="false" outlineLevel="0" collapsed="false">
      <c r="A27" s="9" t="n">
        <v>10</v>
      </c>
      <c r="B27" s="10" t="n">
        <f aca="false">IF(COUNTIFS('Raw Data'!$A$2:$A$205,"Mo",'Raw Data'!$B$2:$B$205,"Midpoint",'Raw Data'!$C$2:$C$205,10)=0,"",SUMIFS('Raw Data'!$AJ$2:$AJ$205,'Raw Data'!$A$2:$A$205,"Mo",'Raw Data'!$B$2:$B$205,"Midpoint",'Raw Data'!$C$2:$C$205,10))</f>
        <v>0.0192227297792892</v>
      </c>
      <c r="C27" s="10" t="n">
        <f aca="false">IF(COUNTIFS('Raw Data'!$A$2:$A$205,"Mo",'Raw Data'!$B$2:$B$205,"Trapezoidal",'Raw Data'!$C$2:$C$205,10)=0,"",SUMIFS('Raw Data'!$AJ$2:$AJ$205,'Raw Data'!$A$2:$A$205,"Mo",'Raw Data'!$B$2:$B$205,"Trapezoidal",'Raw Data'!$C$2:$C$205,10))</f>
        <v>0.0472041921555046</v>
      </c>
      <c r="D27" s="10" t="n">
        <f aca="false">IF(COUNTIFS('Raw Data'!$A$2:$A$205,"Mo",'Raw Data'!$B$2:$B$205,"CC",'Raw Data'!$C$2:$C$205,10)=0,"",SUMIFS('Raw Data'!$AJ$2:$AJ$205,'Raw Data'!$A$2:$A$205,"Mo",'Raw Data'!$B$2:$B$205,"CC",'Raw Data'!$C$2:$C$205,10))</f>
        <v>0.0397352359902676</v>
      </c>
      <c r="E27" s="10" t="n">
        <f aca="false">IF(COUNTIFS('Raw Data'!$A$2:$A$205,"Mo",'Raw Data'!$B$2:$B$205,"GL",'Raw Data'!$C$2:$C$205,10)=0,"",SUMIFS('Raw Data'!$AJ$2:$AJ$205,'Raw Data'!$A$2:$A$205,"Mo",'Raw Data'!$B$2:$B$205,"GL",'Raw Data'!$C$2:$C$205,10))</f>
        <v>0.039108115916946</v>
      </c>
      <c r="F27" s="10" t="n">
        <f aca="false">IF(COUNTIFS('Raw Data'!$A$2:$A$205,"Mo",'Raw Data'!$B$2:$B$205,"Algebraic",'Raw Data'!$C$2:$C$205,10)=0,"",SUMIFS('Raw Data'!$AJ$2:$AJ$205,'Raw Data'!$A$2:$A$205,"Mo",'Raw Data'!$B$2:$B$205,"Algebraic",'Raw Data'!$C$2:$C$205,10))</f>
        <v>0.0539338063465493</v>
      </c>
    </row>
    <row r="28" customFormat="false" ht="15" hidden="false" customHeight="false" outlineLevel="0" collapsed="false">
      <c r="A28" s="9" t="n">
        <v>15</v>
      </c>
      <c r="B28" s="10" t="n">
        <f aca="false">IF(COUNTIFS('Raw Data'!$A$2:$A$205,"Mo",'Raw Data'!$B$2:$B$205,"Midpoint",'Raw Data'!$C$2:$C$205,15)=0,"",SUMIFS('Raw Data'!$AJ$2:$AJ$205,'Raw Data'!$A$2:$A$205,"Mo",'Raw Data'!$B$2:$B$205,"Midpoint",'Raw Data'!$C$2:$C$205,15))</f>
        <v>0.00906180913041052</v>
      </c>
      <c r="C28" s="10" t="n">
        <f aca="false">IF(COUNTIFS('Raw Data'!$A$2:$A$205,"Mo",'Raw Data'!$B$2:$B$205,"Trapezoidal",'Raw Data'!$C$2:$C$205,15)=0,"",SUMIFS('Raw Data'!$AJ$2:$AJ$205,'Raw Data'!$A$2:$A$205,"Mo",'Raw Data'!$B$2:$B$205,"Trapezoidal",'Raw Data'!$C$2:$C$205,15))</f>
        <v>0.00941723276073889</v>
      </c>
      <c r="D28" s="10" t="n">
        <f aca="false">IF(COUNTIFS('Raw Data'!$A$2:$A$205,"Mo",'Raw Data'!$B$2:$B$205,"CC",'Raw Data'!$C$2:$C$205,15)=0,"",SUMIFS('Raw Data'!$AJ$2:$AJ$205,'Raw Data'!$A$2:$A$205,"Mo",'Raw Data'!$B$2:$B$205,"CC",'Raw Data'!$C$2:$C$205,15))</f>
        <v>0.0272517029163737</v>
      </c>
      <c r="E28" s="10" t="n">
        <f aca="false">IF(COUNTIFS('Raw Data'!$A$2:$A$205,"Mo",'Raw Data'!$B$2:$B$205,"GL",'Raw Data'!$C$2:$C$205,15)=0,"",SUMIFS('Raw Data'!$AJ$2:$AJ$205,'Raw Data'!$A$2:$A$205,"Mo",'Raw Data'!$B$2:$B$205,"GL",'Raw Data'!$C$2:$C$205,15))</f>
        <v>0.0141469926725222</v>
      </c>
      <c r="F28" s="10" t="n">
        <f aca="false">IF(COUNTIFS('Raw Data'!$A$2:$A$205,"Mo",'Raw Data'!$B$2:$B$205,"Algebraic",'Raw Data'!$C$2:$C$205,15)=0,"",SUMIFS('Raw Data'!$AJ$2:$AJ$205,'Raw Data'!$A$2:$A$205,"Mo",'Raw Data'!$B$2:$B$205,"Algebraic",'Raw Data'!$C$2:$C$205,15))</f>
        <v>0.0287101930709923</v>
      </c>
    </row>
    <row r="29" customFormat="false" ht="15" hidden="false" customHeight="false" outlineLevel="0" collapsed="false">
      <c r="A29" s="9" t="n">
        <v>20</v>
      </c>
      <c r="B29" s="10" t="n">
        <f aca="false">IF(COUNTIFS('Raw Data'!$A$2:$A$205,"Mo",'Raw Data'!$B$2:$B$205,"Midpoint",'Raw Data'!$C$2:$C$205,20)=0,"",SUMIFS('Raw Data'!$AJ$2:$AJ$205,'Raw Data'!$A$2:$A$205,"Mo",'Raw Data'!$B$2:$B$205,"Midpoint",'Raw Data'!$C$2:$C$205,20))</f>
        <v>0.00295356988031462</v>
      </c>
      <c r="C29" s="10" t="n">
        <f aca="false">IF(COUNTIFS('Raw Data'!$A$2:$A$205,"Mo",'Raw Data'!$B$2:$B$205,"Trapezoidal",'Raw Data'!$C$2:$C$205,20)=0,"",SUMIFS('Raw Data'!$AJ$2:$AJ$205,'Raw Data'!$A$2:$A$205,"Mo",'Raw Data'!$B$2:$B$205,"Trapezoidal",'Raw Data'!$C$2:$C$205,20))</f>
        <v>0.0043833350745581</v>
      </c>
      <c r="D29" s="10" t="n">
        <f aca="false">IF(COUNTIFS('Raw Data'!$A$2:$A$205,"Mo",'Raw Data'!$B$2:$B$205,"CC",'Raw Data'!$C$2:$C$205,20)=0,"",SUMIFS('Raw Data'!$AJ$2:$AJ$205,'Raw Data'!$A$2:$A$205,"Mo",'Raw Data'!$B$2:$B$205,"CC",'Raw Data'!$C$2:$C$205,20))</f>
        <v>0.00107759588155432</v>
      </c>
      <c r="E29" s="10" t="n">
        <f aca="false">IF(COUNTIFS('Raw Data'!$A$2:$A$205,"Mo",'Raw Data'!$B$2:$B$205,"GL",'Raw Data'!$C$2:$C$205,20)=0,"",SUMIFS('Raw Data'!$AJ$2:$AJ$205,'Raw Data'!$A$2:$A$205,"Mo",'Raw Data'!$B$2:$B$205,"GL",'Raw Data'!$C$2:$C$205,20))</f>
        <v>0.00184528239940818</v>
      </c>
      <c r="F29" s="10" t="n">
        <f aca="false">IF(COUNTIFS('Raw Data'!$A$2:$A$205,"Mo",'Raw Data'!$B$2:$B$205,"Algebraic",'Raw Data'!$C$2:$C$205,20)=0,"",SUMIFS('Raw Data'!$AJ$2:$AJ$205,'Raw Data'!$A$2:$A$205,"Mo",'Raw Data'!$B$2:$B$205,"Algebraic",'Raw Data'!$C$2:$C$205,20))</f>
        <v>0.0293820626175147</v>
      </c>
    </row>
    <row r="30" customFormat="false" ht="15" hidden="false" customHeight="false" outlineLevel="0" collapsed="false">
      <c r="A30" s="9" t="n">
        <v>30</v>
      </c>
      <c r="B30" s="10" t="n">
        <f aca="false">IF(COUNTIFS('Raw Data'!$A$2:$A$205,"Mo",'Raw Data'!$B$2:$B$205,"Midpoint",'Raw Data'!$C$2:$C$205,30)=0,"",SUMIFS('Raw Data'!$AJ$2:$AJ$205,'Raw Data'!$A$2:$A$205,"Mo",'Raw Data'!$B$2:$B$205,"Midpoint",'Raw Data'!$C$2:$C$205,30))</f>
        <v>9.80030905233242E-005</v>
      </c>
      <c r="C30" s="10" t="n">
        <f aca="false">IF(COUNTIFS('Raw Data'!$A$2:$A$205,"Mo",'Raw Data'!$B$2:$B$205,"Trapezoidal",'Raw Data'!$C$2:$C$205,30)=0,"",SUMIFS('Raw Data'!$AJ$2:$AJ$205,'Raw Data'!$A$2:$A$205,"Mo",'Raw Data'!$B$2:$B$205,"Trapezoidal",'Raw Data'!$C$2:$C$205,30))</f>
        <v>0.000155792622229783</v>
      </c>
      <c r="D30" s="10" t="n">
        <f aca="false">IF(COUNTIFS('Raw Data'!$A$2:$A$205,"Mo",'Raw Data'!$B$2:$B$205,"CC",'Raw Data'!$C$2:$C$205,30)=0,"",SUMIFS('Raw Data'!$AJ$2:$AJ$205,'Raw Data'!$A$2:$A$205,"Mo",'Raw Data'!$B$2:$B$205,"CC",'Raw Data'!$C$2:$C$205,30))</f>
        <v>8.33276415050932E-005</v>
      </c>
      <c r="E30" s="10" t="n">
        <f aca="false">IF(COUNTIFS('Raw Data'!$A$2:$A$205,"Mo",'Raw Data'!$B$2:$B$205,"GL",'Raw Data'!$C$2:$C$205,30)=0,"",SUMIFS('Raw Data'!$AJ$2:$AJ$205,'Raw Data'!$A$2:$A$205,"Mo",'Raw Data'!$B$2:$B$205,"GL",'Raw Data'!$C$2:$C$205,30))</f>
        <v>0.000208872315397457</v>
      </c>
      <c r="F30" s="10" t="n">
        <f aca="false">IF(COUNTIFS('Raw Data'!$A$2:$A$205,"Mo",'Raw Data'!$B$2:$B$205,"Algebraic",'Raw Data'!$C$2:$C$205,30)=0,"",SUMIFS('Raw Data'!$AJ$2:$AJ$205,'Raw Data'!$A$2:$A$205,"Mo",'Raw Data'!$B$2:$B$205,"Algebraic",'Raw Data'!$C$2:$C$205,30))</f>
        <v>0.0196088413831603</v>
      </c>
    </row>
    <row r="31" customFormat="false" ht="15" hidden="false" customHeight="false" outlineLevel="0" collapsed="false">
      <c r="A31" s="9" t="n">
        <v>50</v>
      </c>
      <c r="B31" s="10" t="n">
        <f aca="false">IF(COUNTIFS('Raw Data'!$A$2:$A$205,"Mo",'Raw Data'!$B$2:$B$205,"Midpoint",'Raw Data'!$C$2:$C$205,50)=0,"",SUMIFS('Raw Data'!$AJ$2:$AJ$205,'Raw Data'!$A$2:$A$205,"Mo",'Raw Data'!$B$2:$B$205,"Midpoint",'Raw Data'!$C$2:$C$205,50))</f>
        <v>4.41094710201817E-008</v>
      </c>
      <c r="C31" s="10" t="n">
        <f aca="false">IF(COUNTIFS('Raw Data'!$A$2:$A$205,"Mo",'Raw Data'!$B$2:$B$205,"Trapezoidal",'Raw Data'!$C$2:$C$205,50)=0,"",SUMIFS('Raw Data'!$AJ$2:$AJ$205,'Raw Data'!$A$2:$A$205,"Mo",'Raw Data'!$B$2:$B$205,"Trapezoidal",'Raw Data'!$C$2:$C$205,50))</f>
        <v>6.02143667982613E-008</v>
      </c>
      <c r="D31" s="10" t="n">
        <f aca="false">IF(COUNTIFS('Raw Data'!$A$2:$A$205,"Mo",'Raw Data'!$B$2:$B$205,"CC",'Raw Data'!$C$2:$C$205,50)=0,"",SUMIFS('Raw Data'!$AJ$2:$AJ$205,'Raw Data'!$A$2:$A$205,"Mo",'Raw Data'!$B$2:$B$205,"CC",'Raw Data'!$C$2:$C$205,50))</f>
        <v>1.20241679724131E-006</v>
      </c>
      <c r="E31" s="10" t="n">
        <f aca="false">IF(COUNTIFS('Raw Data'!$A$2:$A$205,"Mo",'Raw Data'!$B$2:$B$205,"GL",'Raw Data'!$C$2:$C$205,50)=0,"",SUMIFS('Raw Data'!$AJ$2:$AJ$205,'Raw Data'!$A$2:$A$205,"Mo",'Raw Data'!$B$2:$B$205,"GL",'Raw Data'!$C$2:$C$205,50))</f>
        <v>7.35621597414138E-007</v>
      </c>
      <c r="F31" s="10" t="n">
        <f aca="false">IF(COUNTIFS('Raw Data'!$A$2:$A$205,"Mo",'Raw Data'!$B$2:$B$205,"Algebraic",'Raw Data'!$C$2:$C$205,50)=0,"",SUMIFS('Raw Data'!$AJ$2:$AJ$205,'Raw Data'!$A$2:$A$205,"Mo",'Raw Data'!$B$2:$B$205,"Algebraic",'Raw Data'!$C$2:$C$205,50))</f>
        <v>0.00572906328261524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7" t="s">
        <v>56</v>
      </c>
    </row>
    <row r="2" customFormat="false" ht="15" hidden="false" customHeight="false" outlineLevel="0" collapsed="false">
      <c r="A2" s="6" t="s">
        <v>48</v>
      </c>
    </row>
    <row r="4" customFormat="false" ht="15" hidden="false" customHeight="false" outlineLevel="0" collapsed="false">
      <c r="A4" s="8" t="s">
        <v>49</v>
      </c>
    </row>
    <row r="5" customFormat="false" ht="15" hidden="false" customHeight="false" outlineLevel="0" collapsed="false">
      <c r="A5" s="1" t="s">
        <v>50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</row>
    <row r="6" customFormat="false" ht="15" hidden="false" customHeight="false" outlineLevel="0" collapsed="false">
      <c r="A6" s="9" t="n">
        <v>5</v>
      </c>
      <c r="B6" s="10" t="n">
        <f aca="false">IF(COUNTIFS('Raw Data'!$A$2:$A$205,"Au",'Raw Data'!$B$2:$B$205,"Midpoint",'Raw Data'!$C$2:$C$205,5)=0,"",SUMIFS('Raw Data'!$T$2:$T$205,'Raw Data'!$A$2:$A$205,"Au",'Raw Data'!$B$2:$B$205,"Midpoint",'Raw Data'!$C$2:$C$205,5))</f>
        <v>0.049692612439685</v>
      </c>
      <c r="C6" s="10" t="n">
        <f aca="false">IF(COUNTIFS('Raw Data'!$A$2:$A$205,"Au",'Raw Data'!$B$2:$B$205,"Trapezoidal",'Raw Data'!$C$2:$C$205,5)=0,"",SUMIFS('Raw Data'!$T$2:$T$205,'Raw Data'!$A$2:$A$205,"Au",'Raw Data'!$B$2:$B$205,"Trapezoidal",'Raw Data'!$C$2:$C$205,5))</f>
        <v>0.146763435739558</v>
      </c>
      <c r="D6" s="10" t="n">
        <f aca="false">IF(COUNTIFS('Raw Data'!$A$2:$A$205,"Au",'Raw Data'!$B$2:$B$205,"CC",'Raw Data'!$C$2:$C$205,5)=0,"",SUMIFS('Raw Data'!$T$2:$T$205,'Raw Data'!$A$2:$A$205,"Au",'Raw Data'!$B$2:$B$205,"CC",'Raw Data'!$C$2:$C$205,5))</f>
        <v>1.93588786993132</v>
      </c>
      <c r="E6" s="10" t="n">
        <f aca="false">IF(COUNTIFS('Raw Data'!$A$2:$A$205,"Au",'Raw Data'!$B$2:$B$205,"GL",'Raw Data'!$C$2:$C$205,5)=0,"",SUMIFS('Raw Data'!$T$2:$T$205,'Raw Data'!$A$2:$A$205,"Au",'Raw Data'!$B$2:$B$205,"GL",'Raw Data'!$C$2:$C$205,5))</f>
        <v>0.121788316500897</v>
      </c>
      <c r="F6" s="10" t="n">
        <f aca="false">IF(COUNTIFS('Raw Data'!$A$2:$A$205,"Au",'Raw Data'!$B$2:$B$205,"Algebraic",'Raw Data'!$C$2:$C$205,5)=0,"",SUMIFS('Raw Data'!$T$2:$T$205,'Raw Data'!$A$2:$A$205,"Au",'Raw Data'!$B$2:$B$205,"Algebraic",'Raw Data'!$C$2:$C$205,5))</f>
        <v>1.32661760925839</v>
      </c>
    </row>
    <row r="7" customFormat="false" ht="15" hidden="false" customHeight="false" outlineLevel="0" collapsed="false">
      <c r="A7" s="9" t="n">
        <v>10</v>
      </c>
      <c r="B7" s="10" t="n">
        <f aca="false">IF(COUNTIFS('Raw Data'!$A$2:$A$205,"Au",'Raw Data'!$B$2:$B$205,"Midpoint",'Raw Data'!$C$2:$C$205,10)=0,"",SUMIFS('Raw Data'!$T$2:$T$205,'Raw Data'!$A$2:$A$205,"Au",'Raw Data'!$B$2:$B$205,"Midpoint",'Raw Data'!$C$2:$C$205,10))</f>
        <v>0.0312281935512146</v>
      </c>
      <c r="C7" s="10" t="n">
        <f aca="false">IF(COUNTIFS('Raw Data'!$A$2:$A$205,"Au",'Raw Data'!$B$2:$B$205,"Trapezoidal",'Raw Data'!$C$2:$C$205,10)=0,"",SUMIFS('Raw Data'!$T$2:$T$205,'Raw Data'!$A$2:$A$205,"Au",'Raw Data'!$B$2:$B$205,"Trapezoidal",'Raw Data'!$C$2:$C$205,10))</f>
        <v>0.0241635854508786</v>
      </c>
      <c r="D7" s="10" t="n">
        <f aca="false">IF(COUNTIFS('Raw Data'!$A$2:$A$205,"Au",'Raw Data'!$B$2:$B$205,"CC",'Raw Data'!$C$2:$C$205,10)=0,"",SUMIFS('Raw Data'!$T$2:$T$205,'Raw Data'!$A$2:$A$205,"Au",'Raw Data'!$B$2:$B$205,"CC",'Raw Data'!$C$2:$C$205,10))</f>
        <v>0.0377800161804771</v>
      </c>
      <c r="E7" s="10" t="n">
        <f aca="false">IF(COUNTIFS('Raw Data'!$A$2:$A$205,"Au",'Raw Data'!$B$2:$B$205,"GL",'Raw Data'!$C$2:$C$205,10)=0,"",SUMIFS('Raw Data'!$T$2:$T$205,'Raw Data'!$A$2:$A$205,"Au",'Raw Data'!$B$2:$B$205,"GL",'Raw Data'!$C$2:$C$205,10))</f>
        <v>0.0240427176067897</v>
      </c>
      <c r="F7" s="10" t="n">
        <f aca="false">IF(COUNTIFS('Raw Data'!$A$2:$A$205,"Au",'Raw Data'!$B$2:$B$205,"Algebraic",'Raw Data'!$C$2:$C$205,10)=0,"",SUMIFS('Raw Data'!$T$2:$T$205,'Raw Data'!$A$2:$A$205,"Au",'Raw Data'!$B$2:$B$205,"Algebraic",'Raw Data'!$C$2:$C$205,10))</f>
        <v>0.457816144418757</v>
      </c>
    </row>
    <row r="8" customFormat="false" ht="15" hidden="false" customHeight="false" outlineLevel="0" collapsed="false">
      <c r="A8" s="9" t="n">
        <v>15</v>
      </c>
      <c r="B8" s="10" t="n">
        <f aca="false">IF(COUNTIFS('Raw Data'!$A$2:$A$205,"Au",'Raw Data'!$B$2:$B$205,"Midpoint",'Raw Data'!$C$2:$C$205,15)=0,"",SUMIFS('Raw Data'!$T$2:$T$205,'Raw Data'!$A$2:$A$205,"Au",'Raw Data'!$B$2:$B$205,"Midpoint",'Raw Data'!$C$2:$C$205,15))</f>
        <v>0.00100737133107032</v>
      </c>
      <c r="C8" s="10" t="n">
        <f aca="false">IF(COUNTIFS('Raw Data'!$A$2:$A$205,"Au",'Raw Data'!$B$2:$B$205,"Trapezoidal",'Raw Data'!$C$2:$C$205,15)=0,"",SUMIFS('Raw Data'!$T$2:$T$205,'Raw Data'!$A$2:$A$205,"Au",'Raw Data'!$B$2:$B$205,"Trapezoidal",'Raw Data'!$C$2:$C$205,15))</f>
        <v>0.00960916370968334</v>
      </c>
      <c r="D8" s="10" t="n">
        <f aca="false">IF(COUNTIFS('Raw Data'!$A$2:$A$205,"Au",'Raw Data'!$B$2:$B$205,"CC",'Raw Data'!$C$2:$C$205,15)=0,"",SUMIFS('Raw Data'!$T$2:$T$205,'Raw Data'!$A$2:$A$205,"Au",'Raw Data'!$B$2:$B$205,"CC",'Raw Data'!$C$2:$C$205,15))</f>
        <v>0.00425600890957867</v>
      </c>
      <c r="E8" s="10" t="n">
        <f aca="false">IF(COUNTIFS('Raw Data'!$A$2:$A$205,"Au",'Raw Data'!$B$2:$B$205,"GL",'Raw Data'!$C$2:$C$205,15)=0,"",SUMIFS('Raw Data'!$T$2:$T$205,'Raw Data'!$A$2:$A$205,"Au",'Raw Data'!$B$2:$B$205,"GL",'Raw Data'!$C$2:$C$205,15))</f>
        <v>0.0263169263125747</v>
      </c>
      <c r="F8" s="10" t="n">
        <f aca="false">IF(COUNTIFS('Raw Data'!$A$2:$A$205,"Au",'Raw Data'!$B$2:$B$205,"Algebraic",'Raw Data'!$C$2:$C$205,15)=0,"",SUMIFS('Raw Data'!$T$2:$T$205,'Raw Data'!$A$2:$A$205,"Au",'Raw Data'!$B$2:$B$205,"Algebraic",'Raw Data'!$C$2:$C$205,15))</f>
        <v>0.163895066430996</v>
      </c>
    </row>
    <row r="9" customFormat="false" ht="15" hidden="false" customHeight="false" outlineLevel="0" collapsed="false">
      <c r="A9" s="9" t="n">
        <v>20</v>
      </c>
      <c r="B9" s="10" t="n">
        <f aca="false">IF(COUNTIFS('Raw Data'!$A$2:$A$205,"Au",'Raw Data'!$B$2:$B$205,"Midpoint",'Raw Data'!$C$2:$C$205,20)=0,"",SUMIFS('Raw Data'!$T$2:$T$205,'Raw Data'!$A$2:$A$205,"Au",'Raw Data'!$B$2:$B$205,"Midpoint",'Raw Data'!$C$2:$C$205,20))</f>
        <v>0.000111041237687459</v>
      </c>
      <c r="C9" s="10" t="n">
        <f aca="false">IF(COUNTIFS('Raw Data'!$A$2:$A$205,"Au",'Raw Data'!$B$2:$B$205,"Trapezoidal",'Raw Data'!$C$2:$C$205,20)=0,"",SUMIFS('Raw Data'!$T$2:$T$205,'Raw Data'!$A$2:$A$205,"Au",'Raw Data'!$B$2:$B$205,"Trapezoidal",'Raw Data'!$C$2:$C$205,20))</f>
        <v>0.000148990820889594</v>
      </c>
      <c r="D9" s="10" t="n">
        <f aca="false">IF(COUNTIFS('Raw Data'!$A$2:$A$205,"Au",'Raw Data'!$B$2:$B$205,"CC",'Raw Data'!$C$2:$C$205,20)=0,"",SUMIFS('Raw Data'!$T$2:$T$205,'Raw Data'!$A$2:$A$205,"Au",'Raw Data'!$B$2:$B$205,"CC",'Raw Data'!$C$2:$C$205,20))</f>
        <v>0.00256915183126694</v>
      </c>
      <c r="E9" s="10" t="n">
        <f aca="false">IF(COUNTIFS('Raw Data'!$A$2:$A$205,"Au",'Raw Data'!$B$2:$B$205,"GL",'Raw Data'!$C$2:$C$205,20)=0,"",SUMIFS('Raw Data'!$T$2:$T$205,'Raw Data'!$A$2:$A$205,"Au",'Raw Data'!$B$2:$B$205,"GL",'Raw Data'!$C$2:$C$205,20))</f>
        <v>0.0091988250205759</v>
      </c>
      <c r="F9" s="10" t="n">
        <f aca="false">IF(COUNTIFS('Raw Data'!$A$2:$A$205,"Au",'Raw Data'!$B$2:$B$205,"Algebraic",'Raw Data'!$C$2:$C$205,20)=0,"",SUMIFS('Raw Data'!$T$2:$T$205,'Raw Data'!$A$2:$A$205,"Au",'Raw Data'!$B$2:$B$205,"Algebraic",'Raw Data'!$C$2:$C$205,20))</f>
        <v>0.0756522377487272</v>
      </c>
    </row>
    <row r="10" customFormat="false" ht="15" hidden="false" customHeight="false" outlineLevel="0" collapsed="false">
      <c r="A10" s="9" t="n">
        <v>30</v>
      </c>
      <c r="B10" s="10" t="n">
        <f aca="false">IF(COUNTIFS('Raw Data'!$A$2:$A$205,"Au",'Raw Data'!$B$2:$B$205,"Midpoint",'Raw Data'!$C$2:$C$205,30)=0,"",SUMIFS('Raw Data'!$T$2:$T$205,'Raw Data'!$A$2:$A$205,"Au",'Raw Data'!$B$2:$B$205,"Midpoint",'Raw Data'!$C$2:$C$205,30))</f>
        <v>9.70150722423568E-007</v>
      </c>
      <c r="C10" s="10" t="n">
        <f aca="false">IF(COUNTIFS('Raw Data'!$A$2:$A$205,"Au",'Raw Data'!$B$2:$B$205,"Trapezoidal",'Raw Data'!$C$2:$C$205,30)=0,"",SUMIFS('Raw Data'!$T$2:$T$205,'Raw Data'!$A$2:$A$205,"Au",'Raw Data'!$B$2:$B$205,"Trapezoidal",'Raw Data'!$C$2:$C$205,30))</f>
        <v>2.69650627160445E-007</v>
      </c>
      <c r="D10" s="10" t="n">
        <f aca="false">IF(COUNTIFS('Raw Data'!$A$2:$A$205,"Au",'Raw Data'!$B$2:$B$205,"CC",'Raw Data'!$C$2:$C$205,30)=0,"",SUMIFS('Raw Data'!$T$2:$T$205,'Raw Data'!$A$2:$A$205,"Au",'Raw Data'!$B$2:$B$205,"CC",'Raw Data'!$C$2:$C$205,30))</f>
        <v>0.000196178851183504</v>
      </c>
      <c r="E10" s="10" t="n">
        <f aca="false">IF(COUNTIFS('Raw Data'!$A$2:$A$205,"Au",'Raw Data'!$B$2:$B$205,"GL",'Raw Data'!$C$2:$C$205,30)=0,"",SUMIFS('Raw Data'!$T$2:$T$205,'Raw Data'!$A$2:$A$205,"Au",'Raw Data'!$B$2:$B$205,"GL",'Raw Data'!$C$2:$C$205,30))</f>
        <v>2.90991010842845E-006</v>
      </c>
      <c r="F10" s="10" t="n">
        <f aca="false">IF(COUNTIFS('Raw Data'!$A$2:$A$205,"Au",'Raw Data'!$B$2:$B$205,"Algebraic",'Raw Data'!$C$2:$C$205,30)=0,"",SUMIFS('Raw Data'!$T$2:$T$205,'Raw Data'!$A$2:$A$205,"Au",'Raw Data'!$B$2:$B$205,"Algebraic",'Raw Data'!$C$2:$C$205,30))</f>
        <v>0.00136574128919165</v>
      </c>
    </row>
    <row r="11" customFormat="false" ht="15" hidden="false" customHeight="false" outlineLevel="0" collapsed="false">
      <c r="A11" s="9" t="n">
        <v>50</v>
      </c>
      <c r="B11" s="10" t="n">
        <f aca="false">IF(COUNTIFS('Raw Data'!$A$2:$A$205,"Au",'Raw Data'!$B$2:$B$205,"Midpoint",'Raw Data'!$C$2:$C$205,50)=0,"",SUMIFS('Raw Data'!$T$2:$T$205,'Raw Data'!$A$2:$A$205,"Au",'Raw Data'!$B$2:$B$205,"Midpoint",'Raw Data'!$C$2:$C$205,50))</f>
        <v>0</v>
      </c>
      <c r="C11" s="10" t="n">
        <f aca="false">IF(COUNTIFS('Raw Data'!$A$2:$A$205,"Au",'Raw Data'!$B$2:$B$205,"Trapezoidal",'Raw Data'!$C$2:$C$205,50)=0,"",SUMIFS('Raw Data'!$T$2:$T$205,'Raw Data'!$A$2:$A$205,"Au",'Raw Data'!$B$2:$B$205,"Trapezoidal",'Raw Data'!$C$2:$C$205,50))</f>
        <v>9.09494701772928E-011</v>
      </c>
      <c r="D11" s="10" t="n">
        <f aca="false">IF(COUNTIFS('Raw Data'!$A$2:$A$205,"Au",'Raw Data'!$B$2:$B$205,"CC",'Raw Data'!$C$2:$C$205,50)=0,"",SUMIFS('Raw Data'!$T$2:$T$205,'Raw Data'!$A$2:$A$205,"Au",'Raw Data'!$B$2:$B$205,"CC",'Raw Data'!$C$2:$C$205,50))</f>
        <v>3.47339664585888E-007</v>
      </c>
      <c r="E11" s="10" t="n">
        <f aca="false">IF(COUNTIFS('Raw Data'!$A$2:$A$205,"Au",'Raw Data'!$B$2:$B$205,"GL",'Raw Data'!$C$2:$C$205,50)=0,"",SUMIFS('Raw Data'!$T$2:$T$205,'Raw Data'!$A$2:$A$205,"Au",'Raw Data'!$B$2:$B$205,"GL",'Raw Data'!$C$2:$C$205,50))</f>
        <v>1.13977876026183E-007</v>
      </c>
      <c r="F11" s="10" t="n">
        <f aca="false">IF(COUNTIFS('Raw Data'!$A$2:$A$205,"Au",'Raw Data'!$B$2:$B$205,"Algebraic",'Raw Data'!$C$2:$C$205,50)=0,"",SUMIFS('Raw Data'!$T$2:$T$205,'Raw Data'!$A$2:$A$205,"Au",'Raw Data'!$B$2:$B$205,"Algebraic",'Raw Data'!$C$2:$C$205,50))</f>
        <v>0.00351969447001466</v>
      </c>
    </row>
    <row r="14" customFormat="false" ht="15" hidden="false" customHeight="false" outlineLevel="0" collapsed="false">
      <c r="A14" s="8" t="s">
        <v>51</v>
      </c>
    </row>
    <row r="15" customFormat="false" ht="15" hidden="false" customHeight="false" outlineLevel="0" collapsed="false">
      <c r="A15" s="1" t="s">
        <v>50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</row>
    <row r="16" customFormat="false" ht="15" hidden="false" customHeight="false" outlineLevel="0" collapsed="false">
      <c r="A16" s="9" t="n">
        <v>5</v>
      </c>
      <c r="B16" s="10" t="n">
        <f aca="false">IF(COUNTIFS('Raw Data'!$A$2:$A$205,"Au",'Raw Data'!$B$2:$B$205,"Midpoint",'Raw Data'!$C$2:$C$205,5)=0,"",SUMIFS('Raw Data'!$U$2:$U$205,'Raw Data'!$A$2:$A$205,"Au",'Raw Data'!$B$2:$B$205,"Midpoint",'Raw Data'!$C$2:$C$205,5))</f>
        <v>0.0376242015326094</v>
      </c>
      <c r="C16" s="10" t="n">
        <f aca="false">IF(COUNTIFS('Raw Data'!$A$2:$A$205,"Au",'Raw Data'!$B$2:$B$205,"Trapezoidal",'Raw Data'!$C$2:$C$205,5)=0,"",SUMIFS('Raw Data'!$U$2:$U$205,'Raw Data'!$A$2:$A$205,"Au",'Raw Data'!$B$2:$B$205,"Trapezoidal",'Raw Data'!$C$2:$C$205,5))</f>
        <v>0.162996847579451</v>
      </c>
      <c r="D16" s="10" t="n">
        <f aca="false">IF(COUNTIFS('Raw Data'!$A$2:$A$205,"Au",'Raw Data'!$B$2:$B$205,"CC",'Raw Data'!$C$2:$C$205,5)=0,"",SUMIFS('Raw Data'!$U$2:$U$205,'Raw Data'!$A$2:$A$205,"Au",'Raw Data'!$B$2:$B$205,"CC",'Raw Data'!$C$2:$C$205,5))</f>
        <v>1.92878989520124</v>
      </c>
      <c r="E16" s="10" t="n">
        <f aca="false">IF(COUNTIFS('Raw Data'!$A$2:$A$205,"Au",'Raw Data'!$B$2:$B$205,"GL",'Raw Data'!$C$2:$C$205,5)=0,"",SUMIFS('Raw Data'!$U$2:$U$205,'Raw Data'!$A$2:$A$205,"Au",'Raw Data'!$B$2:$B$205,"GL",'Raw Data'!$C$2:$C$205,5))</f>
        <v>0.103574388019763</v>
      </c>
      <c r="F16" s="10" t="n">
        <f aca="false">IF(COUNTIFS('Raw Data'!$A$2:$A$205,"Au",'Raw Data'!$B$2:$B$205,"Algebraic",'Raw Data'!$C$2:$C$205,5)=0,"",SUMIFS('Raw Data'!$U$2:$U$205,'Raw Data'!$A$2:$A$205,"Au",'Raw Data'!$B$2:$B$205,"Algebraic",'Raw Data'!$C$2:$C$205,5))</f>
        <v>1.32770700406302</v>
      </c>
    </row>
    <row r="17" customFormat="false" ht="15" hidden="false" customHeight="false" outlineLevel="0" collapsed="false">
      <c r="A17" s="9" t="n">
        <v>10</v>
      </c>
      <c r="B17" s="10" t="n">
        <f aca="false">IF(COUNTIFS('Raw Data'!$A$2:$A$205,"Au",'Raw Data'!$B$2:$B$205,"Midpoint",'Raw Data'!$C$2:$C$205,10)=0,"",SUMIFS('Raw Data'!$U$2:$U$205,'Raw Data'!$A$2:$A$205,"Au",'Raw Data'!$B$2:$B$205,"Midpoint",'Raw Data'!$C$2:$C$205,10))</f>
        <v>0.0323872278367317</v>
      </c>
      <c r="C17" s="10" t="n">
        <f aca="false">IF(COUNTIFS('Raw Data'!$A$2:$A$205,"Au",'Raw Data'!$B$2:$B$205,"Trapezoidal",'Raw Data'!$C$2:$C$205,10)=0,"",SUMIFS('Raw Data'!$U$2:$U$205,'Raw Data'!$A$2:$A$205,"Au",'Raw Data'!$B$2:$B$205,"Trapezoidal",'Raw Data'!$C$2:$C$205,10))</f>
        <v>0.0232554129403306</v>
      </c>
      <c r="D17" s="10" t="n">
        <f aca="false">IF(COUNTIFS('Raw Data'!$A$2:$A$205,"Au",'Raw Data'!$B$2:$B$205,"CC",'Raw Data'!$C$2:$C$205,10)=0,"",SUMIFS('Raw Data'!$U$2:$U$205,'Raw Data'!$A$2:$A$205,"Au",'Raw Data'!$B$2:$B$205,"CC",'Raw Data'!$C$2:$C$205,10))</f>
        <v>0.0415789873919259</v>
      </c>
      <c r="E17" s="10" t="n">
        <f aca="false">IF(COUNTIFS('Raw Data'!$A$2:$A$205,"Au",'Raw Data'!$B$2:$B$205,"GL",'Raw Data'!$C$2:$C$205,10)=0,"",SUMIFS('Raw Data'!$U$2:$U$205,'Raw Data'!$A$2:$A$205,"Au",'Raw Data'!$B$2:$B$205,"GL",'Raw Data'!$C$2:$C$205,10))</f>
        <v>0.0209333581828819</v>
      </c>
      <c r="F17" s="10" t="n">
        <f aca="false">IF(COUNTIFS('Raw Data'!$A$2:$A$205,"Au",'Raw Data'!$B$2:$B$205,"Algebraic",'Raw Data'!$C$2:$C$205,10)=0,"",SUMIFS('Raw Data'!$U$2:$U$205,'Raw Data'!$A$2:$A$205,"Au",'Raw Data'!$B$2:$B$205,"Algebraic",'Raw Data'!$C$2:$C$205,10))</f>
        <v>0.457720254568053</v>
      </c>
    </row>
    <row r="18" customFormat="false" ht="15" hidden="false" customHeight="false" outlineLevel="0" collapsed="false">
      <c r="A18" s="9" t="n">
        <v>15</v>
      </c>
      <c r="B18" s="10" t="n">
        <f aca="false">IF(COUNTIFS('Raw Data'!$A$2:$A$205,"Au",'Raw Data'!$B$2:$B$205,"Midpoint",'Raw Data'!$C$2:$C$205,15)=0,"",SUMIFS('Raw Data'!$U$2:$U$205,'Raw Data'!$A$2:$A$205,"Au",'Raw Data'!$B$2:$B$205,"Midpoint",'Raw Data'!$C$2:$C$205,15))</f>
        <v>0.00175195033653708</v>
      </c>
      <c r="C18" s="10" t="n">
        <f aca="false">IF(COUNTIFS('Raw Data'!$A$2:$A$205,"Au",'Raw Data'!$B$2:$B$205,"Trapezoidal",'Raw Data'!$C$2:$C$205,15)=0,"",SUMIFS('Raw Data'!$U$2:$U$205,'Raw Data'!$A$2:$A$205,"Au",'Raw Data'!$B$2:$B$205,"Trapezoidal",'Raw Data'!$C$2:$C$205,15))</f>
        <v>0.00868693220965255</v>
      </c>
      <c r="D18" s="10" t="n">
        <f aca="false">IF(COUNTIFS('Raw Data'!$A$2:$A$205,"Au",'Raw Data'!$B$2:$B$205,"CC",'Raw Data'!$C$2:$C$205,15)=0,"",SUMIFS('Raw Data'!$U$2:$U$205,'Raw Data'!$A$2:$A$205,"Au",'Raw Data'!$B$2:$B$205,"CC",'Raw Data'!$C$2:$C$205,15))</f>
        <v>0.00360701164785748</v>
      </c>
      <c r="E18" s="10" t="n">
        <f aca="false">IF(COUNTIFS('Raw Data'!$A$2:$A$205,"Au",'Raw Data'!$B$2:$B$205,"GL",'Raw Data'!$C$2:$C$205,15)=0,"",SUMIFS('Raw Data'!$U$2:$U$205,'Raw Data'!$A$2:$A$205,"Au",'Raw Data'!$B$2:$B$205,"GL",'Raw Data'!$C$2:$C$205,15))</f>
        <v>0.0263270693864062</v>
      </c>
      <c r="F18" s="10" t="n">
        <f aca="false">IF(COUNTIFS('Raw Data'!$A$2:$A$205,"Au",'Raw Data'!$B$2:$B$205,"Algebraic",'Raw Data'!$C$2:$C$205,15)=0,"",SUMIFS('Raw Data'!$U$2:$U$205,'Raw Data'!$A$2:$A$205,"Au",'Raw Data'!$B$2:$B$205,"Algebraic",'Raw Data'!$C$2:$C$205,15))</f>
        <v>0.163910035990301</v>
      </c>
    </row>
    <row r="19" customFormat="false" ht="15" hidden="false" customHeight="false" outlineLevel="0" collapsed="false">
      <c r="A19" s="9" t="n">
        <v>20</v>
      </c>
      <c r="B19" s="10" t="n">
        <f aca="false">IF(COUNTIFS('Raw Data'!$A$2:$A$205,"Au",'Raw Data'!$B$2:$B$205,"Midpoint",'Raw Data'!$C$2:$C$205,20)=0,"",SUMIFS('Raw Data'!$U$2:$U$205,'Raw Data'!$A$2:$A$205,"Au",'Raw Data'!$B$2:$B$205,"Midpoint",'Raw Data'!$C$2:$C$205,20))</f>
        <v>3.12629794914088E-005</v>
      </c>
      <c r="C19" s="10" t="n">
        <f aca="false">IF(COUNTIFS('Raw Data'!$A$2:$A$205,"Au",'Raw Data'!$B$2:$B$205,"Trapezoidal",'Raw Data'!$C$2:$C$205,20)=0,"",SUMIFS('Raw Data'!$U$2:$U$205,'Raw Data'!$A$2:$A$205,"Au",'Raw Data'!$B$2:$B$205,"Trapezoidal",'Raw Data'!$C$2:$C$205,20))</f>
        <v>3.14119894291309E-005</v>
      </c>
      <c r="D19" s="10" t="n">
        <f aca="false">IF(COUNTIFS('Raw Data'!$A$2:$A$205,"Au",'Raw Data'!$B$2:$B$205,"CC",'Raw Data'!$C$2:$C$205,20)=0,"",SUMIFS('Raw Data'!$U$2:$U$205,'Raw Data'!$A$2:$A$205,"Au",'Raw Data'!$B$2:$B$205,"CC",'Raw Data'!$C$2:$C$205,20))</f>
        <v>0.00258078025623831</v>
      </c>
      <c r="E19" s="10" t="n">
        <f aca="false">IF(COUNTIFS('Raw Data'!$A$2:$A$205,"Au",'Raw Data'!$B$2:$B$205,"GL",'Raw Data'!$C$2:$C$205,20)=0,"",SUMIFS('Raw Data'!$U$2:$U$205,'Raw Data'!$A$2:$A$205,"Au",'Raw Data'!$B$2:$B$205,"GL",'Raw Data'!$C$2:$C$205,20))</f>
        <v>0.0090882745596419</v>
      </c>
      <c r="F19" s="10" t="n">
        <f aca="false">IF(COUNTIFS('Raw Data'!$A$2:$A$205,"Au",'Raw Data'!$B$2:$B$205,"Algebraic",'Raw Data'!$C$2:$C$205,20)=0,"",SUMIFS('Raw Data'!$U$2:$U$205,'Raw Data'!$A$2:$A$205,"Au",'Raw Data'!$B$2:$B$205,"Algebraic",'Raw Data'!$C$2:$C$205,20))</f>
        <v>0.0756286263999915</v>
      </c>
    </row>
    <row r="20" customFormat="false" ht="15" hidden="false" customHeight="false" outlineLevel="0" collapsed="false">
      <c r="A20" s="9" t="n">
        <v>30</v>
      </c>
      <c r="B20" s="10" t="n">
        <f aca="false">IF(COUNTIFS('Raw Data'!$A$2:$A$205,"Au",'Raw Data'!$B$2:$B$205,"Midpoint",'Raw Data'!$C$2:$C$205,30)=0,"",SUMIFS('Raw Data'!$U$2:$U$205,'Raw Data'!$A$2:$A$205,"Au",'Raw Data'!$B$2:$B$205,"Midpoint",'Raw Data'!$C$2:$C$205,30))</f>
        <v>4.37965148414321E-006</v>
      </c>
      <c r="C20" s="10" t="n">
        <f aca="false">IF(COUNTIFS('Raw Data'!$A$2:$A$205,"Au",'Raw Data'!$B$2:$B$205,"Trapezoidal",'Raw Data'!$C$2:$C$205,30)=0,"",SUMIFS('Raw Data'!$U$2:$U$205,'Raw Data'!$A$2:$A$205,"Au",'Raw Data'!$B$2:$B$205,"Trapezoidal",'Raw Data'!$C$2:$C$205,30))</f>
        <v>4.65818533612605E-006</v>
      </c>
      <c r="D20" s="10" t="n">
        <f aca="false">IF(COUNTIFS('Raw Data'!$A$2:$A$205,"Au",'Raw Data'!$B$2:$B$205,"CC",'Raw Data'!$C$2:$C$205,30)=0,"",SUMIFS('Raw Data'!$U$2:$U$205,'Raw Data'!$A$2:$A$205,"Au",'Raw Data'!$B$2:$B$205,"CC",'Raw Data'!$C$2:$C$205,30))</f>
        <v>0.000197241242481994</v>
      </c>
      <c r="E20" s="10" t="n">
        <f aca="false">IF(COUNTIFS('Raw Data'!$A$2:$A$205,"Au",'Raw Data'!$B$2:$B$205,"GL",'Raw Data'!$C$2:$C$205,30)=0,"",SUMIFS('Raw Data'!$U$2:$U$205,'Raw Data'!$A$2:$A$205,"Au",'Raw Data'!$B$2:$B$205,"GL",'Raw Data'!$C$2:$C$205,30))</f>
        <v>3.59376177883064E-006</v>
      </c>
      <c r="F20" s="10" t="n">
        <f aca="false">IF(COUNTIFS('Raw Data'!$A$2:$A$205,"Au",'Raw Data'!$B$2:$B$205,"Algebraic",'Raw Data'!$C$2:$C$205,30)=0,"",SUMIFS('Raw Data'!$U$2:$U$205,'Raw Data'!$A$2:$A$205,"Au",'Raw Data'!$B$2:$B$205,"Algebraic",'Raw Data'!$C$2:$C$205,30))</f>
        <v>0.00136221487867871</v>
      </c>
    </row>
    <row r="21" customFormat="false" ht="15" hidden="false" customHeight="false" outlineLevel="0" collapsed="false">
      <c r="A21" s="9" t="n">
        <v>50</v>
      </c>
      <c r="B21" s="10" t="n">
        <f aca="false">IF(COUNTIFS('Raw Data'!$A$2:$A$205,"Au",'Raw Data'!$B$2:$B$205,"Midpoint",'Raw Data'!$C$2:$C$205,50)=0,"",SUMIFS('Raw Data'!$U$2:$U$205,'Raw Data'!$A$2:$A$205,"Au",'Raw Data'!$B$2:$B$205,"Midpoint",'Raw Data'!$C$2:$C$205,50))</f>
        <v>6.69940547481929E-010</v>
      </c>
      <c r="C21" s="10" t="n">
        <f aca="false">IF(COUNTIFS('Raw Data'!$A$2:$A$205,"Au",'Raw Data'!$B$2:$B$205,"Trapezoidal",'Raw Data'!$C$2:$C$205,50)=0,"",SUMIFS('Raw Data'!$U$2:$U$205,'Raw Data'!$A$2:$A$205,"Au",'Raw Data'!$B$2:$B$205,"Trapezoidal",'Raw Data'!$C$2:$C$205,50))</f>
        <v>1.03289643504922E-009</v>
      </c>
      <c r="D21" s="10" t="n">
        <f aca="false">IF(COUNTIFS('Raw Data'!$A$2:$A$205,"Au",'Raw Data'!$B$2:$B$205,"CC",'Raw Data'!$C$2:$C$205,50)=0,"",SUMIFS('Raw Data'!$U$2:$U$205,'Raw Data'!$A$2:$A$205,"Au",'Raw Data'!$B$2:$B$205,"CC",'Raw Data'!$C$2:$C$205,50))</f>
        <v>3.41283860727515E-007</v>
      </c>
      <c r="E21" s="10" t="n">
        <f aca="false">IF(COUNTIFS('Raw Data'!$A$2:$A$205,"Au",'Raw Data'!$B$2:$B$205,"GL",'Raw Data'!$C$2:$C$205,50)=0,"",SUMIFS('Raw Data'!$U$2:$U$205,'Raw Data'!$A$2:$A$205,"Au",'Raw Data'!$B$2:$B$205,"GL",'Raw Data'!$C$2:$C$205,50))</f>
        <v>1.12633862237033E-007</v>
      </c>
      <c r="F21" s="10" t="n">
        <f aca="false">IF(COUNTIFS('Raw Data'!$A$2:$A$205,"Au",'Raw Data'!$B$2:$B$205,"Algebraic",'Raw Data'!$C$2:$C$205,50)=0,"",SUMIFS('Raw Data'!$U$2:$U$205,'Raw Data'!$A$2:$A$205,"Au",'Raw Data'!$B$2:$B$205,"Algebraic",'Raw Data'!$C$2:$C$205,50))</f>
        <v>0.00351708954589025</v>
      </c>
    </row>
    <row r="24" customFormat="false" ht="15" hidden="false" customHeight="false" outlineLevel="0" collapsed="false">
      <c r="A24" s="8" t="s">
        <v>52</v>
      </c>
    </row>
    <row r="25" customFormat="false" ht="15" hidden="false" customHeight="false" outlineLevel="0" collapsed="false">
      <c r="A25" s="1" t="s">
        <v>50</v>
      </c>
      <c r="B25" s="1" t="s">
        <v>37</v>
      </c>
      <c r="C25" s="1" t="s">
        <v>38</v>
      </c>
      <c r="D25" s="1" t="s">
        <v>39</v>
      </c>
      <c r="E25" s="1" t="s">
        <v>40</v>
      </c>
      <c r="F25" s="1" t="s">
        <v>41</v>
      </c>
    </row>
    <row r="26" customFormat="false" ht="15" hidden="false" customHeight="false" outlineLevel="0" collapsed="false">
      <c r="A26" s="9" t="n">
        <v>5</v>
      </c>
      <c r="B26" s="10" t="n">
        <f aca="false">IF(COUNTIFS('Raw Data'!$A$2:$A$205,"Au",'Raw Data'!$B$2:$B$205,"Midpoint",'Raw Data'!$C$2:$C$205,5)=0,"",SUMIFS('Raw Data'!$AJ$2:$AJ$205,'Raw Data'!$A$2:$A$205,"Au",'Raw Data'!$B$2:$B$205,"Midpoint",'Raw Data'!$C$2:$C$205,5))</f>
        <v>0.0854443395356483</v>
      </c>
      <c r="C26" s="10" t="n">
        <f aca="false">IF(COUNTIFS('Raw Data'!$A$2:$A$205,"Au",'Raw Data'!$B$2:$B$205,"Trapezoidal",'Raw Data'!$C$2:$C$205,5)=0,"",SUMIFS('Raw Data'!$AJ$2:$AJ$205,'Raw Data'!$A$2:$A$205,"Au",'Raw Data'!$B$2:$B$205,"Trapezoidal",'Raw Data'!$C$2:$C$205,5))</f>
        <v>0.121020872289719</v>
      </c>
      <c r="D26" s="10" t="n">
        <f aca="false">IF(COUNTIFS('Raw Data'!$A$2:$A$205,"Au",'Raw Data'!$B$2:$B$205,"CC",'Raw Data'!$C$2:$C$205,5)=0,"",SUMIFS('Raw Data'!$AJ$2:$AJ$205,'Raw Data'!$A$2:$A$205,"Au",'Raw Data'!$B$2:$B$205,"CC",'Raw Data'!$C$2:$C$205,5))</f>
        <v>0.0506762808326511</v>
      </c>
      <c r="E26" s="10" t="n">
        <f aca="false">IF(COUNTIFS('Raw Data'!$A$2:$A$205,"Au",'Raw Data'!$B$2:$B$205,"GL",'Raw Data'!$C$2:$C$205,5)=0,"",SUMIFS('Raw Data'!$AJ$2:$AJ$205,'Raw Data'!$A$2:$A$205,"Au",'Raw Data'!$B$2:$B$205,"GL",'Raw Data'!$C$2:$C$205,5))</f>
        <v>0.0958669573328734</v>
      </c>
      <c r="F26" s="10" t="n">
        <f aca="false">IF(COUNTIFS('Raw Data'!$A$2:$A$205,"Au",'Raw Data'!$B$2:$B$205,"Algebraic",'Raw Data'!$C$2:$C$205,5)=0,"",SUMIFS('Raw Data'!$AJ$2:$AJ$205,'Raw Data'!$A$2:$A$205,"Au",'Raw Data'!$B$2:$B$205,"Algebraic",'Raw Data'!$C$2:$C$205,5))</f>
        <v>0.0482222065180622</v>
      </c>
    </row>
    <row r="27" customFormat="false" ht="15" hidden="false" customHeight="false" outlineLevel="0" collapsed="false">
      <c r="A27" s="9" t="n">
        <v>10</v>
      </c>
      <c r="B27" s="10" t="n">
        <f aca="false">IF(COUNTIFS('Raw Data'!$A$2:$A$205,"Au",'Raw Data'!$B$2:$B$205,"Midpoint",'Raw Data'!$C$2:$C$205,10)=0,"",SUMIFS('Raw Data'!$AJ$2:$AJ$205,'Raw Data'!$A$2:$A$205,"Au",'Raw Data'!$B$2:$B$205,"Midpoint",'Raw Data'!$C$2:$C$205,10))</f>
        <v>0.0268358019079642</v>
      </c>
      <c r="C27" s="10" t="n">
        <f aca="false">IF(COUNTIFS('Raw Data'!$A$2:$A$205,"Au",'Raw Data'!$B$2:$B$205,"Trapezoidal",'Raw Data'!$C$2:$C$205,10)=0,"",SUMIFS('Raw Data'!$AJ$2:$AJ$205,'Raw Data'!$A$2:$A$205,"Au",'Raw Data'!$B$2:$B$205,"Trapezoidal",'Raw Data'!$C$2:$C$205,10))</f>
        <v>0.0401185600187191</v>
      </c>
      <c r="D27" s="10" t="n">
        <f aca="false">IF(COUNTIFS('Raw Data'!$A$2:$A$205,"Au",'Raw Data'!$B$2:$B$205,"CC",'Raw Data'!$C$2:$C$205,10)=0,"",SUMIFS('Raw Data'!$AJ$2:$AJ$205,'Raw Data'!$A$2:$A$205,"Au",'Raw Data'!$B$2:$B$205,"CC",'Raw Data'!$C$2:$C$205,10))</f>
        <v>0.0542141738010287</v>
      </c>
      <c r="E27" s="10" t="n">
        <f aca="false">IF(COUNTIFS('Raw Data'!$A$2:$A$205,"Au",'Raw Data'!$B$2:$B$205,"GL",'Raw Data'!$C$2:$C$205,10)=0,"",SUMIFS('Raw Data'!$AJ$2:$AJ$205,'Raw Data'!$A$2:$A$205,"Au",'Raw Data'!$B$2:$B$205,"GL",'Raw Data'!$C$2:$C$205,10))</f>
        <v>0.02189061871589</v>
      </c>
      <c r="F27" s="10" t="n">
        <f aca="false">IF(COUNTIFS('Raw Data'!$A$2:$A$205,"Au",'Raw Data'!$B$2:$B$205,"Algebraic",'Raw Data'!$C$2:$C$205,10)=0,"",SUMIFS('Raw Data'!$AJ$2:$AJ$205,'Raw Data'!$A$2:$A$205,"Au",'Raw Data'!$B$2:$B$205,"Algebraic",'Raw Data'!$C$2:$C$205,10))</f>
        <v>0.0779394836090432</v>
      </c>
    </row>
    <row r="28" customFormat="false" ht="15" hidden="false" customHeight="false" outlineLevel="0" collapsed="false">
      <c r="A28" s="9" t="n">
        <v>15</v>
      </c>
      <c r="B28" s="10" t="n">
        <f aca="false">IF(COUNTIFS('Raw Data'!$A$2:$A$205,"Au",'Raw Data'!$B$2:$B$205,"Midpoint",'Raw Data'!$C$2:$C$205,15)=0,"",SUMIFS('Raw Data'!$AJ$2:$AJ$205,'Raw Data'!$A$2:$A$205,"Au",'Raw Data'!$B$2:$B$205,"Midpoint",'Raw Data'!$C$2:$C$205,15))</f>
        <v>0.0140713792810061</v>
      </c>
      <c r="C28" s="10" t="n">
        <f aca="false">IF(COUNTIFS('Raw Data'!$A$2:$A$205,"Au",'Raw Data'!$B$2:$B$205,"Trapezoidal",'Raw Data'!$C$2:$C$205,15)=0,"",SUMIFS('Raw Data'!$AJ$2:$AJ$205,'Raw Data'!$A$2:$A$205,"Au",'Raw Data'!$B$2:$B$205,"Trapezoidal",'Raw Data'!$C$2:$C$205,15))</f>
        <v>0.014551465878867</v>
      </c>
      <c r="D28" s="10" t="n">
        <f aca="false">IF(COUNTIFS('Raw Data'!$A$2:$A$205,"Au",'Raw Data'!$B$2:$B$205,"CC",'Raw Data'!$C$2:$C$205,15)=0,"",SUMIFS('Raw Data'!$AJ$2:$AJ$205,'Raw Data'!$A$2:$A$205,"Au",'Raw Data'!$B$2:$B$205,"CC",'Raw Data'!$C$2:$C$205,15))</f>
        <v>0.00693275686171546</v>
      </c>
      <c r="E28" s="10" t="n">
        <f aca="false">IF(COUNTIFS('Raw Data'!$A$2:$A$205,"Au",'Raw Data'!$B$2:$B$205,"GL",'Raw Data'!$C$2:$C$205,15)=0,"",SUMIFS('Raw Data'!$AJ$2:$AJ$205,'Raw Data'!$A$2:$A$205,"Au",'Raw Data'!$B$2:$B$205,"GL",'Raw Data'!$C$2:$C$205,15))</f>
        <v>0.0100569061178248</v>
      </c>
      <c r="F28" s="10" t="n">
        <f aca="false">IF(COUNTIFS('Raw Data'!$A$2:$A$205,"Au",'Raw Data'!$B$2:$B$205,"Algebraic",'Raw Data'!$C$2:$C$205,15)=0,"",SUMIFS('Raw Data'!$AJ$2:$AJ$205,'Raw Data'!$A$2:$A$205,"Au",'Raw Data'!$B$2:$B$205,"Algebraic",'Raw Data'!$C$2:$C$205,15))</f>
        <v>0.0688293935240836</v>
      </c>
    </row>
    <row r="29" customFormat="false" ht="15" hidden="false" customHeight="false" outlineLevel="0" collapsed="false">
      <c r="A29" s="9" t="n">
        <v>20</v>
      </c>
      <c r="B29" s="10" t="n">
        <f aca="false">IF(COUNTIFS('Raw Data'!$A$2:$A$205,"Au",'Raw Data'!$B$2:$B$205,"Midpoint",'Raw Data'!$C$2:$C$205,20)=0,"",SUMIFS('Raw Data'!$AJ$2:$AJ$205,'Raw Data'!$A$2:$A$205,"Au",'Raw Data'!$B$2:$B$205,"Midpoint",'Raw Data'!$C$2:$C$205,20))</f>
        <v>0.00399236241992185</v>
      </c>
      <c r="C29" s="10" t="n">
        <f aca="false">IF(COUNTIFS('Raw Data'!$A$2:$A$205,"Au",'Raw Data'!$B$2:$B$205,"Trapezoidal",'Raw Data'!$C$2:$C$205,20)=0,"",SUMIFS('Raw Data'!$AJ$2:$AJ$205,'Raw Data'!$A$2:$A$205,"Au",'Raw Data'!$B$2:$B$205,"Trapezoidal",'Raw Data'!$C$2:$C$205,20))</f>
        <v>0.00519805745702939</v>
      </c>
      <c r="D29" s="10" t="n">
        <f aca="false">IF(COUNTIFS('Raw Data'!$A$2:$A$205,"Au",'Raw Data'!$B$2:$B$205,"CC",'Raw Data'!$C$2:$C$205,20)=0,"",SUMIFS('Raw Data'!$AJ$2:$AJ$205,'Raw Data'!$A$2:$A$205,"Au",'Raw Data'!$B$2:$B$205,"CC",'Raw Data'!$C$2:$C$205,20))</f>
        <v>0.00358659243602233</v>
      </c>
      <c r="E29" s="10" t="n">
        <f aca="false">IF(COUNTIFS('Raw Data'!$A$2:$A$205,"Au",'Raw Data'!$B$2:$B$205,"GL",'Raw Data'!$C$2:$C$205,20)=0,"",SUMIFS('Raw Data'!$AJ$2:$AJ$205,'Raw Data'!$A$2:$A$205,"Au",'Raw Data'!$B$2:$B$205,"GL",'Raw Data'!$C$2:$C$205,20))</f>
        <v>0.00211498704175028</v>
      </c>
      <c r="F29" s="10" t="n">
        <f aca="false">IF(COUNTIFS('Raw Data'!$A$2:$A$205,"Au",'Raw Data'!$B$2:$B$205,"Algebraic",'Raw Data'!$C$2:$C$205,20)=0,"",SUMIFS('Raw Data'!$AJ$2:$AJ$205,'Raw Data'!$A$2:$A$205,"Au",'Raw Data'!$B$2:$B$205,"Algebraic",'Raw Data'!$C$2:$C$205,20))</f>
        <v>0.060421198656968</v>
      </c>
    </row>
    <row r="30" customFormat="false" ht="15" hidden="false" customHeight="false" outlineLevel="0" collapsed="false">
      <c r="A30" s="9" t="n">
        <v>30</v>
      </c>
      <c r="B30" s="10" t="n">
        <f aca="false">IF(COUNTIFS('Raw Data'!$A$2:$A$205,"Au",'Raw Data'!$B$2:$B$205,"Midpoint",'Raw Data'!$C$2:$C$205,30)=0,"",SUMIFS('Raw Data'!$AJ$2:$AJ$205,'Raw Data'!$A$2:$A$205,"Au",'Raw Data'!$B$2:$B$205,"Midpoint",'Raw Data'!$C$2:$C$205,30))</f>
        <v>0.000115980392905612</v>
      </c>
      <c r="C30" s="10" t="n">
        <f aca="false">IF(COUNTIFS('Raw Data'!$A$2:$A$205,"Au",'Raw Data'!$B$2:$B$205,"Trapezoidal",'Raw Data'!$C$2:$C$205,30)=0,"",SUMIFS('Raw Data'!$AJ$2:$AJ$205,'Raw Data'!$A$2:$A$205,"Au",'Raw Data'!$B$2:$B$205,"Trapezoidal",'Raw Data'!$C$2:$C$205,30))</f>
        <v>0.000158418064586385</v>
      </c>
      <c r="D30" s="10" t="n">
        <f aca="false">IF(COUNTIFS('Raw Data'!$A$2:$A$205,"Au",'Raw Data'!$B$2:$B$205,"CC",'Raw Data'!$C$2:$C$205,30)=0,"",SUMIFS('Raw Data'!$AJ$2:$AJ$205,'Raw Data'!$A$2:$A$205,"Au",'Raw Data'!$B$2:$B$205,"CC",'Raw Data'!$C$2:$C$205,30))</f>
        <v>0.000104918156779377</v>
      </c>
      <c r="E30" s="10" t="n">
        <f aca="false">IF(COUNTIFS('Raw Data'!$A$2:$A$205,"Au",'Raw Data'!$B$2:$B$205,"GL",'Raw Data'!$C$2:$C$205,30)=0,"",SUMIFS('Raw Data'!$AJ$2:$AJ$205,'Raw Data'!$A$2:$A$205,"Au",'Raw Data'!$B$2:$B$205,"GL",'Raw Data'!$C$2:$C$205,30))</f>
        <v>8.33859940030379E-005</v>
      </c>
      <c r="F30" s="10" t="n">
        <f aca="false">IF(COUNTIFS('Raw Data'!$A$2:$A$205,"Au",'Raw Data'!$B$2:$B$205,"Algebraic",'Raw Data'!$C$2:$C$205,30)=0,"",SUMIFS('Raw Data'!$AJ$2:$AJ$205,'Raw Data'!$A$2:$A$205,"Au",'Raw Data'!$B$2:$B$205,"Algebraic",'Raw Data'!$C$2:$C$205,30))</f>
        <v>0.035814167407807</v>
      </c>
    </row>
    <row r="31" customFormat="false" ht="15" hidden="false" customHeight="false" outlineLevel="0" collapsed="false">
      <c r="A31" s="9" t="n">
        <v>50</v>
      </c>
      <c r="B31" s="10" t="n">
        <f aca="false">IF(COUNTIFS('Raw Data'!$A$2:$A$205,"Au",'Raw Data'!$B$2:$B$205,"Midpoint",'Raw Data'!$C$2:$C$205,50)=0,"",SUMIFS('Raw Data'!$AJ$2:$AJ$205,'Raw Data'!$A$2:$A$205,"Au",'Raw Data'!$B$2:$B$205,"Midpoint",'Raw Data'!$C$2:$C$205,50))</f>
        <v>1.70538783095253E-009</v>
      </c>
      <c r="C31" s="10" t="n">
        <f aca="false">IF(COUNTIFS('Raw Data'!$A$2:$A$205,"Au",'Raw Data'!$B$2:$B$205,"Trapezoidal",'Raw Data'!$C$2:$C$205,50)=0,"",SUMIFS('Raw Data'!$AJ$2:$AJ$205,'Raw Data'!$A$2:$A$205,"Au",'Raw Data'!$B$2:$B$205,"Trapezoidal",'Raw Data'!$C$2:$C$205,50))</f>
        <v>1.55402233303903E-008</v>
      </c>
      <c r="D31" s="10" t="n">
        <f aca="false">IF(COUNTIFS('Raw Data'!$A$2:$A$205,"Au",'Raw Data'!$B$2:$B$205,"CC",'Raw Data'!$C$2:$C$205,50)=0,"",SUMIFS('Raw Data'!$AJ$2:$AJ$205,'Raw Data'!$A$2:$A$205,"Au",'Raw Data'!$B$2:$B$205,"CC",'Raw Data'!$C$2:$C$205,50))</f>
        <v>4.10080758683762E-007</v>
      </c>
      <c r="E31" s="10" t="n">
        <f aca="false">IF(COUNTIFS('Raw Data'!$A$2:$A$205,"Au",'Raw Data'!$B$2:$B$205,"GL",'Raw Data'!$C$2:$C$205,50)=0,"",SUMIFS('Raw Data'!$AJ$2:$AJ$205,'Raw Data'!$A$2:$A$205,"Au",'Raw Data'!$B$2:$B$205,"GL",'Raw Data'!$C$2:$C$205,50))</f>
        <v>1.30213905435994E-007</v>
      </c>
      <c r="F31" s="10" t="n">
        <f aca="false">IF(COUNTIFS('Raw Data'!$A$2:$A$205,"Au",'Raw Data'!$B$2:$B$205,"Algebraic",'Raw Data'!$C$2:$C$205,50)=0,"",SUMIFS('Raw Data'!$AJ$2:$AJ$205,'Raw Data'!$A$2:$A$205,"Au",'Raw Data'!$B$2:$B$205,"Algebraic",'Raw Data'!$C$2:$C$205,50))</f>
        <v>0.0287336880251132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7" t="s">
        <v>57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58</v>
      </c>
    </row>
    <row r="4" customFormat="false" ht="15" hidden="false" customHeight="false" outlineLevel="0" collapsed="false">
      <c r="A4" s="11" t="s">
        <v>59</v>
      </c>
    </row>
    <row r="5" customFormat="false" ht="15" hidden="false" customHeight="false" outlineLevel="0" collapsed="false">
      <c r="A5" s="11" t="s">
        <v>60</v>
      </c>
    </row>
    <row r="6" customFormat="false" ht="15" hidden="false" customHeight="false" outlineLevel="0" collapsed="false">
      <c r="A6" s="11" t="s">
        <v>61</v>
      </c>
    </row>
    <row r="7" customFormat="false" ht="15" hidden="false" customHeight="false" outlineLevel="0" collapsed="false">
      <c r="A7" s="11" t="s">
        <v>62</v>
      </c>
    </row>
    <row r="8" customFormat="false" ht="15" hidden="false" customHeight="false" outlineLevel="0" collapsed="false">
      <c r="A8" s="11" t="s">
        <v>63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1" t="s">
        <v>64</v>
      </c>
    </row>
    <row r="11" customFormat="false" ht="15" hidden="false" customHeight="false" outlineLevel="0" collapsed="false">
      <c r="A11" s="11"/>
    </row>
    <row r="12" customFormat="false" ht="15" hidden="false" customHeight="false" outlineLevel="0" collapsed="false">
      <c r="A12" s="11" t="s">
        <v>65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1" t="s">
        <v>66</v>
      </c>
    </row>
    <row r="15" customFormat="false" ht="15" hidden="false" customHeight="false" outlineLevel="0" collapsed="false">
      <c r="A15" s="11" t="s">
        <v>67</v>
      </c>
    </row>
    <row r="16" customFormat="false" ht="15" hidden="false" customHeight="false" outlineLevel="0" collapsed="false">
      <c r="A16" s="11" t="s">
        <v>68</v>
      </c>
    </row>
    <row r="17" customFormat="false" ht="15" hidden="false" customHeight="false" outlineLevel="0" collapsed="false">
      <c r="A17" s="11" t="s">
        <v>69</v>
      </c>
    </row>
    <row r="18" customFormat="false" ht="15" hidden="false" customHeight="false" outlineLevel="0" collapsed="false">
      <c r="A18" s="11" t="s">
        <v>70</v>
      </c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1" t="s">
        <v>71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2026-08-12T23:28:02Z</dcterms:created>
  <dc:creator>openpyxl</dc:creator>
  <dc:description/>
  <dc:language>en-US</dc:language>
  <cp:lastModifiedBy/>
  <dcterms:modified xsi:type="dcterms:W3CDTF">2026-08-12T23:28:02Z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